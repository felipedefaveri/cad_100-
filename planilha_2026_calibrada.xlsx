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Fatores" sheetId="2" state="visible" r:id="rId2"/>
    <sheet name="Calibr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3" fontId="0" fillId="3" borderId="0" pivotButton="0" quotePrefix="0" xfId="0"/>
    <xf numFmtId="3" fontId="2" fillId="0" borderId="0" pivotButton="0" quotePrefix="0" xfId="0"/>
    <xf numFmtId="164" fontId="0" fillId="0" borderId="0" pivotButton="0" quotePrefix="0" xfId="0"/>
    <xf numFmtId="165" fontId="0" fillId="4" borderId="0" pivotButton="0" quotePrefix="0" xfId="0"/>
    <xf numFmtId="3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Serviço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Unid.</t>
        </is>
      </c>
      <c r="E1" s="1" t="inlineStr">
        <is>
          <t>Jan</t>
        </is>
      </c>
      <c r="F1" s="1" t="inlineStr">
        <is>
          <t>Fev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Mai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média jan-jul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  <c r="R1" s="1" t="inlineStr">
        <is>
          <t>média ago-dez</t>
        </is>
      </c>
      <c r="S1" s="1" t="inlineStr">
        <is>
          <t>Total Ano</t>
        </is>
      </c>
    </row>
    <row r="2">
      <c r="A2" t="inlineStr">
        <is>
          <t>Água</t>
        </is>
      </c>
      <c r="B2" t="inlineStr">
        <is>
          <t>RESIDENCIAL</t>
        </is>
      </c>
      <c r="C2" t="inlineStr">
        <is>
          <t>Economias faturadas residencial</t>
        </is>
      </c>
      <c r="D2" t="inlineStr">
        <is>
          <t>econ.</t>
        </is>
      </c>
      <c r="E2" s="2" t="n">
        <v>95895</v>
      </c>
      <c r="F2" s="2" t="n">
        <v>95891</v>
      </c>
      <c r="G2" s="2" t="n">
        <v>96078</v>
      </c>
      <c r="H2" s="2" t="n">
        <v>99572</v>
      </c>
      <c r="I2" s="2" t="n">
        <v>100007</v>
      </c>
      <c r="J2" s="2" t="n">
        <v>100215</v>
      </c>
      <c r="K2" s="2" t="n">
        <v>100452</v>
      </c>
      <c r="L2" s="3">
        <f>AVERAGE(E2:K2)</f>
        <v/>
      </c>
      <c r="M2" s="2" t="n">
        <v>100678</v>
      </c>
      <c r="N2" s="2" t="n">
        <v>100793</v>
      </c>
      <c r="O2" s="2" t="n">
        <v>100908</v>
      </c>
      <c r="P2" s="2" t="n">
        <v>101073</v>
      </c>
      <c r="Q2" s="2" t="n">
        <v>101188</v>
      </c>
      <c r="R2" s="3">
        <f>AVERAGE(M2:Q2)</f>
        <v/>
      </c>
      <c r="S2" s="4">
        <f>SUM(E2:K2)+SUM(M2:Q2)</f>
        <v/>
      </c>
    </row>
    <row r="3">
      <c r="A3" t="inlineStr">
        <is>
          <t>Água</t>
        </is>
      </c>
      <c r="B3" t="inlineStr">
        <is>
          <t>COMERCIAL</t>
        </is>
      </c>
      <c r="C3" t="inlineStr">
        <is>
          <t>Economias faturadas comercial</t>
        </is>
      </c>
      <c r="D3" t="inlineStr">
        <is>
          <t>econ.</t>
        </is>
      </c>
      <c r="E3" s="2" t="n">
        <v>7996</v>
      </c>
      <c r="F3" s="2" t="n">
        <v>8016</v>
      </c>
      <c r="G3" s="2" t="n">
        <v>7991</v>
      </c>
      <c r="H3" s="2" t="n">
        <v>8318</v>
      </c>
      <c r="I3" s="2" t="n">
        <v>8321</v>
      </c>
      <c r="J3" s="2" t="n">
        <v>8353</v>
      </c>
      <c r="K3" s="2" t="n">
        <v>8384</v>
      </c>
      <c r="L3" s="3">
        <f>AVERAGE(E3:K3)</f>
        <v/>
      </c>
      <c r="M3" s="2" t="n">
        <v>8381</v>
      </c>
      <c r="N3" s="2" t="n">
        <v>8382</v>
      </c>
      <c r="O3" s="2" t="n">
        <v>8382</v>
      </c>
      <c r="P3" s="2" t="n">
        <v>8383</v>
      </c>
      <c r="Q3" s="2" t="n">
        <v>8383</v>
      </c>
      <c r="R3" s="3">
        <f>AVERAGE(M3:Q3)</f>
        <v/>
      </c>
      <c r="S3" s="4">
        <f>SUM(E3:K3)+SUM(M3:Q3)</f>
        <v/>
      </c>
    </row>
    <row r="4">
      <c r="A4" t="inlineStr">
        <is>
          <t>Água</t>
        </is>
      </c>
      <c r="B4" t="inlineStr">
        <is>
          <t>INDUSTRIAL</t>
        </is>
      </c>
      <c r="C4" t="inlineStr">
        <is>
          <t>Economias faturadas industrial</t>
        </is>
      </c>
      <c r="D4" t="inlineStr">
        <is>
          <t>econ.</t>
        </is>
      </c>
      <c r="E4" s="2" t="n">
        <v>294</v>
      </c>
      <c r="F4" s="2" t="n">
        <v>297</v>
      </c>
      <c r="G4" s="2" t="n">
        <v>297</v>
      </c>
      <c r="H4" s="2" t="n">
        <v>300</v>
      </c>
      <c r="I4" s="2" t="n">
        <v>299</v>
      </c>
      <c r="J4" s="2" t="n">
        <v>300</v>
      </c>
      <c r="K4" s="2" t="n">
        <v>298</v>
      </c>
      <c r="L4" s="3">
        <f>AVERAGE(E4:K4)</f>
        <v/>
      </c>
      <c r="M4" s="2" t="n">
        <v>297</v>
      </c>
      <c r="N4" s="2" t="n">
        <v>298</v>
      </c>
      <c r="O4" s="2" t="n">
        <v>299</v>
      </c>
      <c r="P4" s="2" t="n">
        <v>300</v>
      </c>
      <c r="Q4" s="2" t="n">
        <v>301</v>
      </c>
      <c r="R4" s="3">
        <f>AVERAGE(M4:Q4)</f>
        <v/>
      </c>
      <c r="S4" s="4">
        <f>SUM(E4:K4)+SUM(M4:Q4)</f>
        <v/>
      </c>
    </row>
    <row r="5">
      <c r="A5" t="inlineStr">
        <is>
          <t>Água</t>
        </is>
      </c>
      <c r="B5" t="inlineStr">
        <is>
          <t>PÚBLICO</t>
        </is>
      </c>
      <c r="C5" t="inlineStr">
        <is>
          <t>Economias faturadas público</t>
        </is>
      </c>
      <c r="D5" t="inlineStr">
        <is>
          <t>econ.</t>
        </is>
      </c>
      <c r="E5" s="2" t="n">
        <v>565</v>
      </c>
      <c r="F5" s="2" t="n">
        <v>562</v>
      </c>
      <c r="G5" s="2" t="n">
        <v>561</v>
      </c>
      <c r="H5" s="2" t="n">
        <v>548</v>
      </c>
      <c r="I5" s="2" t="n">
        <v>550</v>
      </c>
      <c r="J5" s="2" t="n">
        <v>549</v>
      </c>
      <c r="K5" s="2" t="n">
        <v>551</v>
      </c>
      <c r="L5" s="3">
        <f>AVERAGE(E5:K5)</f>
        <v/>
      </c>
      <c r="M5" s="2" t="n">
        <v>549</v>
      </c>
      <c r="N5" s="2" t="n">
        <v>550</v>
      </c>
      <c r="O5" s="2" t="n">
        <v>551</v>
      </c>
      <c r="P5" s="2" t="n">
        <v>552</v>
      </c>
      <c r="Q5" s="2" t="n">
        <v>553</v>
      </c>
      <c r="R5" s="3">
        <f>AVERAGE(M5:Q5)</f>
        <v/>
      </c>
      <c r="S5" s="4">
        <f>SUM(E5:K5)+SUM(M5:Q5)</f>
        <v/>
      </c>
    </row>
    <row r="6">
      <c r="A6" t="inlineStr">
        <is>
          <t>Água</t>
        </is>
      </c>
      <c r="B6" t="inlineStr">
        <is>
          <t>RESIDENCIAL</t>
        </is>
      </c>
      <c r="C6" t="inlineStr">
        <is>
          <t>Volume medido residencial</t>
        </is>
      </c>
      <c r="D6" t="inlineStr">
        <is>
          <t>m³</t>
        </is>
      </c>
      <c r="E6" s="2" t="n">
        <v>837548</v>
      </c>
      <c r="F6" s="2" t="n">
        <v>798686</v>
      </c>
      <c r="G6" s="2" t="n">
        <v>773464</v>
      </c>
      <c r="H6" s="2" t="n">
        <v>783539</v>
      </c>
      <c r="I6" s="2" t="n">
        <v>786598</v>
      </c>
      <c r="J6" s="2" t="n">
        <v>742685</v>
      </c>
      <c r="K6" s="2" t="n">
        <v>803979</v>
      </c>
      <c r="L6" s="3">
        <f>AVERAGE(E6:K6)</f>
        <v/>
      </c>
      <c r="M6" s="2" t="n">
        <v>767346</v>
      </c>
      <c r="N6" s="2" t="n">
        <v>781691</v>
      </c>
      <c r="O6" s="2" t="n">
        <v>794828</v>
      </c>
      <c r="P6" s="2" t="n">
        <v>786483</v>
      </c>
      <c r="Q6" s="2" t="n">
        <v>821698</v>
      </c>
      <c r="R6" s="3">
        <f>AVERAGE(M6:Q6)</f>
        <v/>
      </c>
      <c r="S6" s="4">
        <f>SUM(E6:K6)+SUM(M6:Q6)</f>
        <v/>
      </c>
    </row>
    <row r="7">
      <c r="A7" t="inlineStr">
        <is>
          <t>Água</t>
        </is>
      </c>
      <c r="B7" t="inlineStr">
        <is>
          <t>COMERCIAL</t>
        </is>
      </c>
      <c r="C7" t="inlineStr">
        <is>
          <t>Volume medido comercial</t>
        </is>
      </c>
      <c r="D7" t="inlineStr">
        <is>
          <t>m³</t>
        </is>
      </c>
      <c r="E7" s="2" t="n">
        <v>70264</v>
      </c>
      <c r="F7" s="2" t="n">
        <v>76562</v>
      </c>
      <c r="G7" s="2" t="n">
        <v>71220</v>
      </c>
      <c r="H7" s="2" t="n">
        <v>76114</v>
      </c>
      <c r="I7" s="2" t="n">
        <v>75016</v>
      </c>
      <c r="J7" s="2" t="n">
        <v>72356</v>
      </c>
      <c r="K7" s="2" t="n">
        <v>76445</v>
      </c>
      <c r="L7" s="3">
        <f>AVERAGE(E7:K7)</f>
        <v/>
      </c>
      <c r="M7" s="2" t="n">
        <v>82811</v>
      </c>
      <c r="N7" s="2" t="n">
        <v>85147</v>
      </c>
      <c r="O7" s="2" t="n">
        <v>83590</v>
      </c>
      <c r="P7" s="2" t="n">
        <v>83033</v>
      </c>
      <c r="Q7" s="2" t="n">
        <v>83555</v>
      </c>
      <c r="R7" s="3">
        <f>AVERAGE(M7:Q7)</f>
        <v/>
      </c>
      <c r="S7" s="4">
        <f>SUM(E7:K7)+SUM(M7:Q7)</f>
        <v/>
      </c>
    </row>
    <row r="8">
      <c r="A8" t="inlineStr">
        <is>
          <t>Água</t>
        </is>
      </c>
      <c r="B8" t="inlineStr">
        <is>
          <t>INDUSTRIAL</t>
        </is>
      </c>
      <c r="C8" t="inlineStr">
        <is>
          <t>Volume medido industrial</t>
        </is>
      </c>
      <c r="D8" t="inlineStr">
        <is>
          <t>m³</t>
        </is>
      </c>
      <c r="E8" s="2" t="n">
        <v>29662</v>
      </c>
      <c r="F8" s="2" t="n">
        <v>31339</v>
      </c>
      <c r="G8" s="2" t="n">
        <v>27807</v>
      </c>
      <c r="H8" s="2" t="n">
        <v>28276</v>
      </c>
      <c r="I8" s="2" t="n">
        <v>29469</v>
      </c>
      <c r="J8" s="2" t="n">
        <v>31113</v>
      </c>
      <c r="K8" s="2" t="n">
        <v>32674</v>
      </c>
      <c r="L8" s="3">
        <f>AVERAGE(E8:K8)</f>
        <v/>
      </c>
      <c r="M8" s="2" t="n">
        <v>27120</v>
      </c>
      <c r="N8" s="2" t="n">
        <v>27720</v>
      </c>
      <c r="O8" s="2" t="n">
        <v>27910</v>
      </c>
      <c r="P8" s="2" t="n">
        <v>27941</v>
      </c>
      <c r="Q8" s="2" t="n">
        <v>27281</v>
      </c>
      <c r="R8" s="3">
        <f>AVERAGE(M8:Q8)</f>
        <v/>
      </c>
      <c r="S8" s="4">
        <f>SUM(E8:K8)+SUM(M8:Q8)</f>
        <v/>
      </c>
    </row>
    <row r="9">
      <c r="A9" t="inlineStr">
        <is>
          <t>Água</t>
        </is>
      </c>
      <c r="B9" t="inlineStr">
        <is>
          <t>PÚBLICO</t>
        </is>
      </c>
      <c r="C9" t="inlineStr">
        <is>
          <t>Volume medido público</t>
        </is>
      </c>
      <c r="D9" t="inlineStr">
        <is>
          <t>m³</t>
        </is>
      </c>
      <c r="E9" s="2" t="n">
        <v>30079</v>
      </c>
      <c r="F9" s="2" t="n">
        <v>33267</v>
      </c>
      <c r="G9" s="2" t="n">
        <v>35231</v>
      </c>
      <c r="H9" s="2" t="n">
        <v>36797</v>
      </c>
      <c r="I9" s="2" t="n">
        <v>35240</v>
      </c>
      <c r="J9" s="2" t="n">
        <v>38098</v>
      </c>
      <c r="K9" s="2" t="n">
        <v>34887</v>
      </c>
      <c r="L9" s="3">
        <f>AVERAGE(E9:K9)</f>
        <v/>
      </c>
      <c r="M9" s="2" t="n">
        <v>33479</v>
      </c>
      <c r="N9" s="2" t="n">
        <v>38642</v>
      </c>
      <c r="O9" s="2" t="n">
        <v>38282</v>
      </c>
      <c r="P9" s="2" t="n">
        <v>35946</v>
      </c>
      <c r="Q9" s="2" t="n">
        <v>35047</v>
      </c>
      <c r="R9" s="3">
        <f>AVERAGE(M9:Q9)</f>
        <v/>
      </c>
      <c r="S9" s="4">
        <f>SUM(E9:K9)+SUM(M9:Q9)</f>
        <v/>
      </c>
    </row>
    <row r="10">
      <c r="A10" t="inlineStr">
        <is>
          <t>Água</t>
        </is>
      </c>
      <c r="B10" t="inlineStr">
        <is>
          <t>RESIDENCIAL</t>
        </is>
      </c>
      <c r="C10" t="inlineStr">
        <is>
          <t>Volume faturado residencial</t>
        </is>
      </c>
      <c r="D10" t="inlineStr">
        <is>
          <t>m³</t>
        </is>
      </c>
      <c r="E10" s="2" t="n">
        <v>1132341</v>
      </c>
      <c r="F10" s="2" t="n">
        <v>1110631</v>
      </c>
      <c r="G10" s="2" t="n">
        <v>1105063</v>
      </c>
      <c r="H10" s="2" t="n">
        <v>1142963</v>
      </c>
      <c r="I10" s="2" t="n">
        <v>1136589</v>
      </c>
      <c r="J10" s="2" t="n">
        <v>1130820</v>
      </c>
      <c r="K10" s="2" t="n">
        <v>1179363</v>
      </c>
      <c r="L10" s="3">
        <f>AVERAGE(E10:K10)</f>
        <v/>
      </c>
      <c r="M10" s="2" t="n">
        <v>1150080</v>
      </c>
      <c r="N10" s="2" t="n">
        <v>1163167</v>
      </c>
      <c r="O10" s="2" t="n">
        <v>1172711</v>
      </c>
      <c r="P10" s="2" t="n">
        <v>1172280</v>
      </c>
      <c r="Q10" s="2" t="n">
        <v>1184420</v>
      </c>
      <c r="R10" s="3">
        <f>AVERAGE(M10:Q10)</f>
        <v/>
      </c>
      <c r="S10" s="4">
        <f>SUM(E10:K10)+SUM(M10:Q10)</f>
        <v/>
      </c>
    </row>
    <row r="11">
      <c r="A11" t="inlineStr">
        <is>
          <t>Água</t>
        </is>
      </c>
      <c r="B11" t="inlineStr">
        <is>
          <t>COMERCIAL</t>
        </is>
      </c>
      <c r="C11" t="inlineStr">
        <is>
          <t>Volume faturado comercial</t>
        </is>
      </c>
      <c r="D11" t="inlineStr">
        <is>
          <t>m³</t>
        </is>
      </c>
      <c r="E11" s="2" t="n">
        <v>103284</v>
      </c>
      <c r="F11" s="2" t="n">
        <v>107109</v>
      </c>
      <c r="G11" s="2" t="n">
        <v>103689</v>
      </c>
      <c r="H11" s="2" t="n">
        <v>109717</v>
      </c>
      <c r="I11" s="2" t="n">
        <v>108610</v>
      </c>
      <c r="J11" s="2" t="n">
        <v>109113</v>
      </c>
      <c r="K11" s="2" t="n">
        <v>110209</v>
      </c>
      <c r="L11" s="3">
        <f>AVERAGE(E11:K11)</f>
        <v/>
      </c>
      <c r="M11" s="2" t="n">
        <v>126890</v>
      </c>
      <c r="N11" s="2" t="n">
        <v>128451</v>
      </c>
      <c r="O11" s="2" t="n">
        <v>127185</v>
      </c>
      <c r="P11" s="2" t="n">
        <v>126147</v>
      </c>
      <c r="Q11" s="2" t="n">
        <v>126277</v>
      </c>
      <c r="R11" s="3">
        <f>AVERAGE(M11:Q11)</f>
        <v/>
      </c>
      <c r="S11" s="4">
        <f>SUM(E11:K11)+SUM(M11:Q11)</f>
        <v/>
      </c>
    </row>
    <row r="12">
      <c r="A12" t="inlineStr">
        <is>
          <t>Água</t>
        </is>
      </c>
      <c r="B12" t="inlineStr">
        <is>
          <t>INDUSTRIAL</t>
        </is>
      </c>
      <c r="C12" t="inlineStr">
        <is>
          <t>Volume faturado industrial</t>
        </is>
      </c>
      <c r="D12" t="inlineStr">
        <is>
          <t>m³</t>
        </is>
      </c>
      <c r="E12" s="2" t="n">
        <v>31691</v>
      </c>
      <c r="F12" s="2" t="n">
        <v>33268</v>
      </c>
      <c r="G12" s="2" t="n">
        <v>30153</v>
      </c>
      <c r="H12" s="2" t="n">
        <v>30305</v>
      </c>
      <c r="I12" s="2" t="n">
        <v>31895</v>
      </c>
      <c r="J12" s="2" t="n">
        <v>33316</v>
      </c>
      <c r="K12" s="2" t="n">
        <v>32793</v>
      </c>
      <c r="L12" s="3">
        <f>AVERAGE(E12:K12)</f>
        <v/>
      </c>
      <c r="M12" s="2" t="n">
        <v>28310</v>
      </c>
      <c r="N12" s="2" t="n">
        <v>28986</v>
      </c>
      <c r="O12" s="2" t="n">
        <v>29155</v>
      </c>
      <c r="P12" s="2" t="n">
        <v>29272</v>
      </c>
      <c r="Q12" s="2" t="n">
        <v>28629</v>
      </c>
      <c r="R12" s="3">
        <f>AVERAGE(M12:Q12)</f>
        <v/>
      </c>
      <c r="S12" s="4">
        <f>SUM(E12:K12)+SUM(M12:Q12)</f>
        <v/>
      </c>
    </row>
    <row r="13">
      <c r="A13" t="inlineStr">
        <is>
          <t>Água</t>
        </is>
      </c>
      <c r="B13" t="inlineStr">
        <is>
          <t>PÚBLICO</t>
        </is>
      </c>
      <c r="C13" t="inlineStr">
        <is>
          <t>Volume faturado público</t>
        </is>
      </c>
      <c r="D13" t="inlineStr">
        <is>
          <t>m³</t>
        </is>
      </c>
      <c r="E13" s="2" t="n">
        <v>31566</v>
      </c>
      <c r="F13" s="2" t="n">
        <v>33908</v>
      </c>
      <c r="G13" s="2" t="n">
        <v>36223</v>
      </c>
      <c r="H13" s="2" t="n">
        <v>38197</v>
      </c>
      <c r="I13" s="2" t="n">
        <v>35984</v>
      </c>
      <c r="J13" s="2" t="n">
        <v>38823</v>
      </c>
      <c r="K13" s="2" t="n">
        <v>35594</v>
      </c>
      <c r="L13" s="3">
        <f>AVERAGE(E13:K13)</f>
        <v/>
      </c>
      <c r="M13" s="2" t="n">
        <v>34727</v>
      </c>
      <c r="N13" s="2" t="n">
        <v>39954</v>
      </c>
      <c r="O13" s="2" t="n">
        <v>39760</v>
      </c>
      <c r="P13" s="2" t="n">
        <v>37422</v>
      </c>
      <c r="Q13" s="2" t="n">
        <v>36393</v>
      </c>
      <c r="R13" s="3">
        <f>AVERAGE(M13:Q13)</f>
        <v/>
      </c>
      <c r="S13" s="4">
        <f>SUM(E13:K13)+SUM(M13:Q13)</f>
        <v/>
      </c>
    </row>
    <row r="14">
      <c r="A14" t="inlineStr">
        <is>
          <t>Água</t>
        </is>
      </c>
      <c r="B14" t="inlineStr">
        <is>
          <t>RESIDENCIAL</t>
        </is>
      </c>
      <c r="C14" t="inlineStr">
        <is>
          <t>Valor residencial</t>
        </is>
      </c>
      <c r="D14" t="inlineStr">
        <is>
          <t>R$</t>
        </is>
      </c>
      <c r="E14" s="2" t="n">
        <v>8922937</v>
      </c>
      <c r="F14" s="2" t="n">
        <v>8500290</v>
      </c>
      <c r="G14" s="2" t="n">
        <v>8374301</v>
      </c>
      <c r="H14" s="2" t="n">
        <v>8575972</v>
      </c>
      <c r="I14" s="2" t="n">
        <v>8221649</v>
      </c>
      <c r="J14" s="2" t="n">
        <v>8371315</v>
      </c>
      <c r="K14" s="2" t="n">
        <v>8556519</v>
      </c>
      <c r="L14" s="3">
        <f>AVERAGE(E14:K14)</f>
        <v/>
      </c>
      <c r="M14" s="2" t="n">
        <v>8503423</v>
      </c>
      <c r="N14" s="2" t="n">
        <v>9554675</v>
      </c>
      <c r="O14" s="2" t="n">
        <v>9853652</v>
      </c>
      <c r="P14" s="2" t="n">
        <v>9716469</v>
      </c>
      <c r="Q14" s="2" t="n">
        <v>9734693</v>
      </c>
      <c r="R14" s="3">
        <f>AVERAGE(M14:Q14)</f>
        <v/>
      </c>
      <c r="S14" s="4">
        <f>SUM(E14:K14)+SUM(M14:Q14)</f>
        <v/>
      </c>
    </row>
    <row r="15">
      <c r="A15" t="inlineStr">
        <is>
          <t>Água</t>
        </is>
      </c>
      <c r="B15" t="inlineStr">
        <is>
          <t>COMERCIAL</t>
        </is>
      </c>
      <c r="C15" t="inlineStr">
        <is>
          <t>Valor comercial</t>
        </is>
      </c>
      <c r="D15" t="inlineStr">
        <is>
          <t>R$</t>
        </is>
      </c>
      <c r="E15" s="2" t="n">
        <v>2945564</v>
      </c>
      <c r="F15" s="2" t="n">
        <v>3112837</v>
      </c>
      <c r="G15" s="2" t="n">
        <v>3013440</v>
      </c>
      <c r="H15" s="2" t="n">
        <v>3206712</v>
      </c>
      <c r="I15" s="2" t="n">
        <v>3003758</v>
      </c>
      <c r="J15" s="2" t="n">
        <v>3167512</v>
      </c>
      <c r="K15" s="2" t="n">
        <v>3193270</v>
      </c>
      <c r="L15" s="3">
        <f>AVERAGE(E15:K15)</f>
        <v/>
      </c>
      <c r="M15" s="2" t="n">
        <v>3575123</v>
      </c>
      <c r="N15" s="2" t="n">
        <v>3759954</v>
      </c>
      <c r="O15" s="2" t="n">
        <v>3696617</v>
      </c>
      <c r="P15" s="2" t="n">
        <v>3640574</v>
      </c>
      <c r="Q15" s="2" t="n">
        <v>3634592</v>
      </c>
      <c r="R15" s="3">
        <f>AVERAGE(M15:Q15)</f>
        <v/>
      </c>
      <c r="S15" s="4">
        <f>SUM(E15:K15)+SUM(M15:Q15)</f>
        <v/>
      </c>
    </row>
    <row r="16">
      <c r="A16" t="inlineStr">
        <is>
          <t>Água</t>
        </is>
      </c>
      <c r="B16" t="inlineStr">
        <is>
          <t>INDUSTRIAL</t>
        </is>
      </c>
      <c r="C16" t="inlineStr">
        <is>
          <t>Valor industrial</t>
        </is>
      </c>
      <c r="D16" t="inlineStr">
        <is>
          <t>R$</t>
        </is>
      </c>
      <c r="E16" s="2" t="n">
        <v>681289</v>
      </c>
      <c r="F16" s="2" t="n">
        <v>719839</v>
      </c>
      <c r="G16" s="2" t="n">
        <v>665568</v>
      </c>
      <c r="H16" s="2" t="n">
        <v>666440</v>
      </c>
      <c r="I16" s="2" t="n">
        <v>728050</v>
      </c>
      <c r="J16" s="2" t="n">
        <v>835970</v>
      </c>
      <c r="K16" s="2" t="n">
        <v>766499</v>
      </c>
      <c r="L16" s="3">
        <f>AVERAGE(E16:K16)</f>
        <v/>
      </c>
      <c r="M16" s="2" t="n">
        <v>560925</v>
      </c>
      <c r="N16" s="2" t="n">
        <v>604139</v>
      </c>
      <c r="O16" s="2" t="n">
        <v>612884</v>
      </c>
      <c r="P16" s="2" t="n">
        <v>619089</v>
      </c>
      <c r="Q16" s="2" t="n">
        <v>584977</v>
      </c>
      <c r="R16" s="3">
        <f>AVERAGE(M16:Q16)</f>
        <v/>
      </c>
      <c r="S16" s="4">
        <f>SUM(E16:K16)+SUM(M16:Q16)</f>
        <v/>
      </c>
    </row>
    <row r="17">
      <c r="A17" t="inlineStr">
        <is>
          <t>Água</t>
        </is>
      </c>
      <c r="B17" t="inlineStr">
        <is>
          <t>PÚBLICO</t>
        </is>
      </c>
      <c r="C17" t="inlineStr">
        <is>
          <t>Valor público</t>
        </is>
      </c>
      <c r="D17" t="inlineStr">
        <is>
          <t>R$</t>
        </is>
      </c>
      <c r="E17" s="2" t="n">
        <v>340022</v>
      </c>
      <c r="F17" s="2" t="n">
        <v>347816</v>
      </c>
      <c r="G17" s="2" t="n">
        <v>371189</v>
      </c>
      <c r="H17" s="2" t="n">
        <v>390195</v>
      </c>
      <c r="I17" s="2" t="n">
        <v>343363</v>
      </c>
      <c r="J17" s="2" t="n">
        <v>413117</v>
      </c>
      <c r="K17" s="2" t="n">
        <v>360401</v>
      </c>
      <c r="L17" s="3">
        <f>AVERAGE(E17:K17)</f>
        <v/>
      </c>
      <c r="M17" s="2" t="n">
        <v>351982</v>
      </c>
      <c r="N17" s="2" t="n">
        <v>417513</v>
      </c>
      <c r="O17" s="2" t="n">
        <v>415503</v>
      </c>
      <c r="P17" s="2" t="n">
        <v>385313</v>
      </c>
      <c r="Q17" s="2" t="n">
        <v>376448</v>
      </c>
      <c r="R17" s="3">
        <f>AVERAGE(M17:Q17)</f>
        <v/>
      </c>
      <c r="S17" s="4">
        <f>SUM(E17:K17)+SUM(M17:Q17)</f>
        <v/>
      </c>
    </row>
    <row r="18">
      <c r="A18" t="inlineStr">
        <is>
          <t>Esgoto</t>
        </is>
      </c>
      <c r="B18" t="inlineStr">
        <is>
          <t>RESIDENCIAL</t>
        </is>
      </c>
      <c r="C18" t="inlineStr">
        <is>
          <t>Economias faturadas residencial</t>
        </is>
      </c>
      <c r="D18" t="inlineStr">
        <is>
          <t>econ.</t>
        </is>
      </c>
      <c r="E18" s="2" t="n">
        <v>68425</v>
      </c>
      <c r="F18" s="2" t="n">
        <v>68751</v>
      </c>
      <c r="G18" s="2" t="n">
        <v>68921</v>
      </c>
      <c r="H18" s="2" t="n">
        <v>69564</v>
      </c>
      <c r="I18" s="2" t="n">
        <v>71001</v>
      </c>
      <c r="J18" s="2" t="n">
        <v>71210</v>
      </c>
      <c r="K18" s="2" t="n">
        <v>71378</v>
      </c>
      <c r="L18" s="3">
        <f>AVERAGE(E18:K18)</f>
        <v/>
      </c>
      <c r="M18" s="2" t="n">
        <v>75828</v>
      </c>
      <c r="N18" s="2" t="n">
        <v>75885</v>
      </c>
      <c r="O18" s="2" t="n">
        <v>75942</v>
      </c>
      <c r="P18" s="2" t="n">
        <v>76036</v>
      </c>
      <c r="Q18" s="2" t="n">
        <v>76093</v>
      </c>
      <c r="R18" s="3">
        <f>AVERAGE(M18:Q18)</f>
        <v/>
      </c>
      <c r="S18" s="4">
        <f>SUM(E18:K18)+SUM(M18:Q18)</f>
        <v/>
      </c>
    </row>
    <row r="19">
      <c r="A19" t="inlineStr">
        <is>
          <t>Esgoto</t>
        </is>
      </c>
      <c r="B19" t="inlineStr">
        <is>
          <t>COMERCIAL</t>
        </is>
      </c>
      <c r="C19" t="inlineStr">
        <is>
          <t>Economias faturadas comercial</t>
        </is>
      </c>
      <c r="D19" t="inlineStr">
        <is>
          <t>econ.</t>
        </is>
      </c>
      <c r="E19" s="2" t="n">
        <v>7094</v>
      </c>
      <c r="F19" s="2" t="n">
        <v>7110</v>
      </c>
      <c r="G19" s="2" t="n">
        <v>7078</v>
      </c>
      <c r="H19" s="2" t="n">
        <v>7145</v>
      </c>
      <c r="I19" s="2" t="n">
        <v>7119</v>
      </c>
      <c r="J19" s="2" t="n">
        <v>7271</v>
      </c>
      <c r="K19" s="2" t="n">
        <v>7342</v>
      </c>
      <c r="L19" s="3">
        <f>AVERAGE(E19:K19)</f>
        <v/>
      </c>
      <c r="M19" s="2" t="n">
        <v>7523</v>
      </c>
      <c r="N19" s="2" t="n">
        <v>7523</v>
      </c>
      <c r="O19" s="2" t="n">
        <v>7523</v>
      </c>
      <c r="P19" s="2" t="n">
        <v>7523</v>
      </c>
      <c r="Q19" s="2" t="n">
        <v>7523</v>
      </c>
      <c r="R19" s="3">
        <f>AVERAGE(M19:Q19)</f>
        <v/>
      </c>
      <c r="S19" s="4">
        <f>SUM(E19:K19)+SUM(M19:Q19)</f>
        <v/>
      </c>
    </row>
    <row r="20">
      <c r="A20" t="inlineStr">
        <is>
          <t>Esgoto</t>
        </is>
      </c>
      <c r="B20" t="inlineStr">
        <is>
          <t>INDUSTRIAL</t>
        </is>
      </c>
      <c r="C20" t="inlineStr">
        <is>
          <t>Economias faturadas industrial</t>
        </is>
      </c>
      <c r="D20" t="inlineStr">
        <is>
          <t>econ.</t>
        </is>
      </c>
      <c r="E20" s="2" t="n">
        <v>140</v>
      </c>
      <c r="F20" s="2" t="n">
        <v>142</v>
      </c>
      <c r="G20" s="2" t="n">
        <v>141</v>
      </c>
      <c r="H20" s="2" t="n">
        <v>143</v>
      </c>
      <c r="I20" s="2" t="n">
        <v>143</v>
      </c>
      <c r="J20" s="2" t="n">
        <v>148</v>
      </c>
      <c r="K20" s="2" t="n">
        <v>151</v>
      </c>
      <c r="L20" s="3">
        <f>AVERAGE(E20:K20)</f>
        <v/>
      </c>
      <c r="M20" s="2" t="n">
        <v>169</v>
      </c>
      <c r="N20" s="2" t="n">
        <v>169</v>
      </c>
      <c r="O20" s="2" t="n">
        <v>169</v>
      </c>
      <c r="P20" s="2" t="n">
        <v>169</v>
      </c>
      <c r="Q20" s="2" t="n">
        <v>169</v>
      </c>
      <c r="R20" s="3">
        <f>AVERAGE(M20:Q20)</f>
        <v/>
      </c>
      <c r="S20" s="4">
        <f>SUM(E20:K20)+SUM(M20:Q20)</f>
        <v/>
      </c>
    </row>
    <row r="21">
      <c r="A21" t="inlineStr">
        <is>
          <t>Esgoto</t>
        </is>
      </c>
      <c r="B21" t="inlineStr">
        <is>
          <t>PÚBLICO</t>
        </is>
      </c>
      <c r="C21" t="inlineStr">
        <is>
          <t>Economias faturadas público</t>
        </is>
      </c>
      <c r="D21" t="inlineStr">
        <is>
          <t>econ.</t>
        </is>
      </c>
      <c r="E21" s="2" t="n">
        <v>458</v>
      </c>
      <c r="F21" s="2" t="n">
        <v>457</v>
      </c>
      <c r="G21" s="2" t="n">
        <v>457</v>
      </c>
      <c r="H21" s="2" t="n">
        <v>444</v>
      </c>
      <c r="I21" s="2" t="n">
        <v>457</v>
      </c>
      <c r="J21" s="2" t="n">
        <v>448</v>
      </c>
      <c r="K21" s="2" t="n">
        <v>448</v>
      </c>
      <c r="L21" s="3">
        <f>AVERAGE(E21:K21)</f>
        <v/>
      </c>
      <c r="M21" s="2" t="n">
        <v>478</v>
      </c>
      <c r="N21" s="2" t="n">
        <v>478</v>
      </c>
      <c r="O21" s="2" t="n">
        <v>478</v>
      </c>
      <c r="P21" s="2" t="n">
        <v>478</v>
      </c>
      <c r="Q21" s="2" t="n">
        <v>478</v>
      </c>
      <c r="R21" s="3">
        <f>AVERAGE(M21:Q21)</f>
        <v/>
      </c>
      <c r="S21" s="4">
        <f>SUM(E21:K21)+SUM(M21:Q21)</f>
        <v/>
      </c>
    </row>
    <row r="22">
      <c r="A22" t="inlineStr">
        <is>
          <t>Esgoto</t>
        </is>
      </c>
      <c r="B22" t="inlineStr">
        <is>
          <t>RESIDENCIAL</t>
        </is>
      </c>
      <c r="C22" t="inlineStr">
        <is>
          <t>Volume medido residencial</t>
        </is>
      </c>
      <c r="D22" t="inlineStr">
        <is>
          <t>m³</t>
        </is>
      </c>
      <c r="E22" s="2" t="n">
        <v>596223</v>
      </c>
      <c r="F22" s="2" t="n">
        <v>577663</v>
      </c>
      <c r="G22" s="2" t="n">
        <v>564190</v>
      </c>
      <c r="H22" s="2" t="n">
        <v>580708</v>
      </c>
      <c r="I22" s="2" t="n">
        <v>572931</v>
      </c>
      <c r="J22" s="2" t="n">
        <v>556414</v>
      </c>
      <c r="K22" s="2" t="n">
        <v>606855</v>
      </c>
      <c r="L22" s="3">
        <f>AVERAGE(E22:K22)</f>
        <v/>
      </c>
      <c r="M22" s="2" t="n">
        <v>586680</v>
      </c>
      <c r="N22" s="2" t="n">
        <v>599212</v>
      </c>
      <c r="O22" s="2" t="n">
        <v>619672</v>
      </c>
      <c r="P22" s="2" t="n">
        <v>603840</v>
      </c>
      <c r="Q22" s="2" t="n">
        <v>613637</v>
      </c>
      <c r="R22" s="3">
        <f>AVERAGE(M22:Q22)</f>
        <v/>
      </c>
      <c r="S22" s="4">
        <f>SUM(E22:K22)+SUM(M22:Q22)</f>
        <v/>
      </c>
    </row>
    <row r="23">
      <c r="A23" t="inlineStr">
        <is>
          <t>Esgoto</t>
        </is>
      </c>
      <c r="B23" t="inlineStr">
        <is>
          <t>COMERCIAL</t>
        </is>
      </c>
      <c r="C23" t="inlineStr">
        <is>
          <t>Volume medido comercial</t>
        </is>
      </c>
      <c r="D23" t="inlineStr">
        <is>
          <t>m³</t>
        </is>
      </c>
      <c r="E23" s="2" t="n">
        <v>64154</v>
      </c>
      <c r="F23" s="2" t="n">
        <v>69721</v>
      </c>
      <c r="G23" s="2" t="n">
        <v>65636</v>
      </c>
      <c r="H23" s="2" t="n">
        <v>71160</v>
      </c>
      <c r="I23" s="2" t="n">
        <v>69546</v>
      </c>
      <c r="J23" s="2" t="n">
        <v>69433</v>
      </c>
      <c r="K23" s="2" t="n">
        <v>72753</v>
      </c>
      <c r="L23" s="3">
        <f>AVERAGE(E23:K23)</f>
        <v/>
      </c>
      <c r="M23" s="2" t="n">
        <v>77744</v>
      </c>
      <c r="N23" s="2" t="n">
        <v>75915</v>
      </c>
      <c r="O23" s="2" t="n">
        <v>74617</v>
      </c>
      <c r="P23" s="2" t="n">
        <v>76168</v>
      </c>
      <c r="Q23" s="2" t="n">
        <v>76978</v>
      </c>
      <c r="R23" s="3">
        <f>AVERAGE(M23:Q23)</f>
        <v/>
      </c>
      <c r="S23" s="4">
        <f>SUM(E23:K23)+SUM(M23:Q23)</f>
        <v/>
      </c>
    </row>
    <row r="24">
      <c r="A24" t="inlineStr">
        <is>
          <t>Esgoto</t>
        </is>
      </c>
      <c r="B24" t="inlineStr">
        <is>
          <t>INDUSTRIAL</t>
        </is>
      </c>
      <c r="C24" t="inlineStr">
        <is>
          <t>Volume medido industrial</t>
        </is>
      </c>
      <c r="D24" t="inlineStr">
        <is>
          <t>m³</t>
        </is>
      </c>
      <c r="E24" s="2" t="n">
        <v>26997</v>
      </c>
      <c r="F24" s="2" t="n">
        <v>30518</v>
      </c>
      <c r="G24" s="2" t="n">
        <v>26359</v>
      </c>
      <c r="H24" s="2" t="n">
        <v>26660</v>
      </c>
      <c r="I24" s="2" t="n">
        <v>25592</v>
      </c>
      <c r="J24" s="2" t="n">
        <v>26088</v>
      </c>
      <c r="K24" s="2" t="n">
        <v>28926</v>
      </c>
      <c r="L24" s="3">
        <f>AVERAGE(E24:K24)</f>
        <v/>
      </c>
      <c r="M24" s="2" t="n">
        <v>23601</v>
      </c>
      <c r="N24" s="2" t="n">
        <v>23092</v>
      </c>
      <c r="O24" s="2" t="n">
        <v>23191</v>
      </c>
      <c r="P24" s="2" t="n">
        <v>23559</v>
      </c>
      <c r="Q24" s="2" t="n">
        <v>23523</v>
      </c>
      <c r="R24" s="3">
        <f>AVERAGE(M24:Q24)</f>
        <v/>
      </c>
      <c r="S24" s="4">
        <f>SUM(E24:K24)+SUM(M24:Q24)</f>
        <v/>
      </c>
    </row>
    <row r="25">
      <c r="A25" t="inlineStr">
        <is>
          <t>Esgoto</t>
        </is>
      </c>
      <c r="B25" t="inlineStr">
        <is>
          <t>PÚBLICO</t>
        </is>
      </c>
      <c r="C25" t="inlineStr">
        <is>
          <t>Volume medido público</t>
        </is>
      </c>
      <c r="D25" t="inlineStr">
        <is>
          <t>m³</t>
        </is>
      </c>
      <c r="E25" s="2" t="n">
        <v>25645</v>
      </c>
      <c r="F25" s="2" t="n">
        <v>28265</v>
      </c>
      <c r="G25" s="2" t="n">
        <v>30440</v>
      </c>
      <c r="H25" s="2" t="n">
        <v>31268</v>
      </c>
      <c r="I25" s="2" t="n">
        <v>29697</v>
      </c>
      <c r="J25" s="2" t="n">
        <v>32613</v>
      </c>
      <c r="K25" s="2" t="n">
        <v>30946</v>
      </c>
      <c r="L25" s="3">
        <f>AVERAGE(E25:K25)</f>
        <v/>
      </c>
      <c r="M25" s="2" t="n">
        <v>28544</v>
      </c>
      <c r="N25" s="2" t="n">
        <v>32750</v>
      </c>
      <c r="O25" s="2" t="n">
        <v>32028</v>
      </c>
      <c r="P25" s="2" t="n">
        <v>30799</v>
      </c>
      <c r="Q25" s="2" t="n">
        <v>29630</v>
      </c>
      <c r="R25" s="3">
        <f>AVERAGE(M25:Q25)</f>
        <v/>
      </c>
      <c r="S25" s="4">
        <f>SUM(E25:K25)+SUM(M25:Q25)</f>
        <v/>
      </c>
    </row>
    <row r="26">
      <c r="A26" t="inlineStr">
        <is>
          <t>Esgoto</t>
        </is>
      </c>
      <c r="B26" t="inlineStr">
        <is>
          <t>RESIDENCIAL</t>
        </is>
      </c>
      <c r="C26" t="inlineStr">
        <is>
          <t>Volume faturado residencial</t>
        </is>
      </c>
      <c r="D26" t="inlineStr">
        <is>
          <t>m³</t>
        </is>
      </c>
      <c r="E26" s="2" t="n">
        <v>813877</v>
      </c>
      <c r="F26" s="2" t="n">
        <v>802752</v>
      </c>
      <c r="G26" s="2" t="n">
        <v>802074</v>
      </c>
      <c r="H26" s="2" t="n">
        <v>808103</v>
      </c>
      <c r="I26" s="2" t="n">
        <v>818595</v>
      </c>
      <c r="J26" s="2" t="n">
        <v>816138</v>
      </c>
      <c r="K26" s="2" t="n">
        <v>864510</v>
      </c>
      <c r="L26" s="3">
        <f>AVERAGE(E26:K26)</f>
        <v/>
      </c>
      <c r="M26" s="2" t="n">
        <v>862252</v>
      </c>
      <c r="N26" s="2" t="n">
        <v>877645</v>
      </c>
      <c r="O26" s="2" t="n">
        <v>897806</v>
      </c>
      <c r="P26" s="2" t="n">
        <v>879763</v>
      </c>
      <c r="Q26" s="2" t="n">
        <v>889199</v>
      </c>
      <c r="R26" s="3">
        <f>AVERAGE(M26:Q26)</f>
        <v/>
      </c>
      <c r="S26" s="4">
        <f>SUM(E26:K26)+SUM(M26:Q26)</f>
        <v/>
      </c>
    </row>
    <row r="27">
      <c r="A27" t="inlineStr">
        <is>
          <t>Esgoto</t>
        </is>
      </c>
      <c r="B27" t="inlineStr">
        <is>
          <t>COMERCIAL</t>
        </is>
      </c>
      <c r="C27" t="inlineStr">
        <is>
          <t>Volume faturado comercial</t>
        </is>
      </c>
      <c r="D27" t="inlineStr">
        <is>
          <t>m³</t>
        </is>
      </c>
      <c r="E27" s="2" t="n">
        <v>93335</v>
      </c>
      <c r="F27" s="2" t="n">
        <v>95710</v>
      </c>
      <c r="G27" s="2" t="n">
        <v>92595</v>
      </c>
      <c r="H27" s="2" t="n">
        <v>97036</v>
      </c>
      <c r="I27" s="2" t="n">
        <v>96403</v>
      </c>
      <c r="J27" s="2" t="n">
        <v>98500</v>
      </c>
      <c r="K27" s="2" t="n">
        <v>102510</v>
      </c>
      <c r="L27" s="3">
        <f>AVERAGE(E27:K27)</f>
        <v/>
      </c>
      <c r="M27" s="2" t="n">
        <v>117485</v>
      </c>
      <c r="N27" s="2" t="n">
        <v>115810</v>
      </c>
      <c r="O27" s="2" t="n">
        <v>115022</v>
      </c>
      <c r="P27" s="2" t="n">
        <v>115666</v>
      </c>
      <c r="Q27" s="2" t="n">
        <v>116282</v>
      </c>
      <c r="R27" s="3">
        <f>AVERAGE(M27:Q27)</f>
        <v/>
      </c>
      <c r="S27" s="4">
        <f>SUM(E27:K27)+SUM(M27:Q27)</f>
        <v/>
      </c>
    </row>
    <row r="28">
      <c r="A28" t="inlineStr">
        <is>
          <t>Esgoto</t>
        </is>
      </c>
      <c r="B28" t="inlineStr">
        <is>
          <t>INDUSTRIAL</t>
        </is>
      </c>
      <c r="C28" t="inlineStr">
        <is>
          <t>Volume faturado industrial</t>
        </is>
      </c>
      <c r="D28" t="inlineStr">
        <is>
          <t>m³</t>
        </is>
      </c>
      <c r="E28" s="2" t="n">
        <v>25824</v>
      </c>
      <c r="F28" s="2" t="n">
        <v>26977</v>
      </c>
      <c r="G28" s="2" t="n">
        <v>24205</v>
      </c>
      <c r="H28" s="2" t="n">
        <v>24008</v>
      </c>
      <c r="I28" s="2" t="n">
        <v>24005</v>
      </c>
      <c r="J28" s="2" t="n">
        <v>23935</v>
      </c>
      <c r="K28" s="2" t="n">
        <v>25879</v>
      </c>
      <c r="L28" s="3">
        <f>AVERAGE(E28:K28)</f>
        <v/>
      </c>
      <c r="M28" s="2" t="n">
        <v>24304</v>
      </c>
      <c r="N28" s="2" t="n">
        <v>23789</v>
      </c>
      <c r="O28" s="2" t="n">
        <v>23876</v>
      </c>
      <c r="P28" s="2" t="n">
        <v>24237</v>
      </c>
      <c r="Q28" s="2" t="n">
        <v>24236</v>
      </c>
      <c r="R28" s="3">
        <f>AVERAGE(M28:Q28)</f>
        <v/>
      </c>
      <c r="S28" s="4">
        <f>SUM(E28:K28)+SUM(M28:Q28)</f>
        <v/>
      </c>
    </row>
    <row r="29">
      <c r="A29" t="inlineStr">
        <is>
          <t>Esgoto</t>
        </is>
      </c>
      <c r="B29" t="inlineStr">
        <is>
          <t>PÚBLICO</t>
        </is>
      </c>
      <c r="C29" t="inlineStr">
        <is>
          <t>Volume faturado público</t>
        </is>
      </c>
      <c r="D29" t="inlineStr">
        <is>
          <t>m³</t>
        </is>
      </c>
      <c r="E29" s="2" t="n">
        <v>26513</v>
      </c>
      <c r="F29" s="2" t="n">
        <v>28533</v>
      </c>
      <c r="G29" s="2" t="n">
        <v>30481</v>
      </c>
      <c r="H29" s="2" t="n">
        <v>31569</v>
      </c>
      <c r="I29" s="2" t="n">
        <v>29651</v>
      </c>
      <c r="J29" s="2" t="n">
        <v>32658</v>
      </c>
      <c r="K29" s="2" t="n">
        <v>30074</v>
      </c>
      <c r="L29" s="3">
        <f>AVERAGE(E29:K29)</f>
        <v/>
      </c>
      <c r="M29" s="2" t="n">
        <v>29703</v>
      </c>
      <c r="N29" s="2" t="n">
        <v>34026</v>
      </c>
      <c r="O29" s="2" t="n">
        <v>33342</v>
      </c>
      <c r="P29" s="2" t="n">
        <v>32133</v>
      </c>
      <c r="Q29" s="2" t="n">
        <v>30873</v>
      </c>
      <c r="R29" s="3">
        <f>AVERAGE(M29:Q29)</f>
        <v/>
      </c>
      <c r="S29" s="4">
        <f>SUM(E29:K29)+SUM(M29:Q29)</f>
        <v/>
      </c>
    </row>
    <row r="30">
      <c r="A30" t="inlineStr">
        <is>
          <t>Esgoto</t>
        </is>
      </c>
      <c r="B30" t="inlineStr">
        <is>
          <t>RESIDENCIAL</t>
        </is>
      </c>
      <c r="C30" t="inlineStr">
        <is>
          <t>Valor residencial</t>
        </is>
      </c>
      <c r="D30" t="inlineStr">
        <is>
          <t>R$</t>
        </is>
      </c>
      <c r="E30" s="2" t="n">
        <v>4826786</v>
      </c>
      <c r="F30" s="2" t="n">
        <v>4690777</v>
      </c>
      <c r="G30" s="2" t="n">
        <v>4675493</v>
      </c>
      <c r="H30" s="2" t="n">
        <v>4616837</v>
      </c>
      <c r="I30" s="2" t="n">
        <v>4543942</v>
      </c>
      <c r="J30" s="2" t="n">
        <v>4662181</v>
      </c>
      <c r="K30" s="2" t="n">
        <v>4712757</v>
      </c>
      <c r="L30" s="3">
        <f>AVERAGE(E30:K30)</f>
        <v/>
      </c>
      <c r="M30" s="2" t="n">
        <v>4829479</v>
      </c>
      <c r="N30" s="2" t="n">
        <v>6834325</v>
      </c>
      <c r="O30" s="2" t="n">
        <v>7634466</v>
      </c>
      <c r="P30" s="2" t="n">
        <v>6670456</v>
      </c>
      <c r="Q30" s="2" t="n">
        <v>7024136</v>
      </c>
      <c r="R30" s="3">
        <f>AVERAGE(M30:Q30)</f>
        <v/>
      </c>
      <c r="S30" s="4">
        <f>SUM(E30:K30)+SUM(M30:Q30)</f>
        <v/>
      </c>
    </row>
    <row r="31">
      <c r="A31" t="inlineStr">
        <is>
          <t>Esgoto</t>
        </is>
      </c>
      <c r="B31" t="inlineStr">
        <is>
          <t>COMERCIAL</t>
        </is>
      </c>
      <c r="C31" t="inlineStr">
        <is>
          <t>Valor comercial</t>
        </is>
      </c>
      <c r="D31" t="inlineStr">
        <is>
          <t>R$</t>
        </is>
      </c>
      <c r="E31" s="2" t="n">
        <v>2220425</v>
      </c>
      <c r="F31" s="2" t="n">
        <v>2307034</v>
      </c>
      <c r="G31" s="2" t="n">
        <v>2252978</v>
      </c>
      <c r="H31" s="2" t="n">
        <v>2371559</v>
      </c>
      <c r="I31" s="2" t="n">
        <v>2255442</v>
      </c>
      <c r="J31" s="2" t="n">
        <v>2437479</v>
      </c>
      <c r="K31" s="2" t="n">
        <v>2489572</v>
      </c>
      <c r="L31" s="3">
        <f>AVERAGE(E31:K31)</f>
        <v/>
      </c>
      <c r="M31" s="2" t="n">
        <v>2815163</v>
      </c>
      <c r="N31" s="2" t="n">
        <v>3172837</v>
      </c>
      <c r="O31" s="2" t="n">
        <v>3135701</v>
      </c>
      <c r="P31" s="2" t="n">
        <v>3163530</v>
      </c>
      <c r="Q31" s="2" t="n">
        <v>3187059</v>
      </c>
      <c r="R31" s="3">
        <f>AVERAGE(M31:Q31)</f>
        <v/>
      </c>
      <c r="S31" s="4">
        <f>SUM(E31:K31)+SUM(M31:Q31)</f>
        <v/>
      </c>
    </row>
    <row r="32">
      <c r="A32" t="inlineStr">
        <is>
          <t>Esgoto</t>
        </is>
      </c>
      <c r="B32" t="inlineStr">
        <is>
          <t>INDUSTRIAL</t>
        </is>
      </c>
      <c r="C32" t="inlineStr">
        <is>
          <t>Valor industrial</t>
        </is>
      </c>
      <c r="D32" t="inlineStr">
        <is>
          <t>R$</t>
        </is>
      </c>
      <c r="E32" s="2" t="n">
        <v>276840</v>
      </c>
      <c r="F32" s="2" t="n">
        <v>281658</v>
      </c>
      <c r="G32" s="2" t="n">
        <v>266082</v>
      </c>
      <c r="H32" s="2" t="n">
        <v>254346</v>
      </c>
      <c r="I32" s="2" t="n">
        <v>247702</v>
      </c>
      <c r="J32" s="2" t="n">
        <v>248871</v>
      </c>
      <c r="K32" s="2" t="n">
        <v>248796</v>
      </c>
      <c r="L32" s="3">
        <f>AVERAGE(E32:K32)</f>
        <v/>
      </c>
      <c r="M32" s="2" t="n">
        <v>255844</v>
      </c>
      <c r="N32" s="2" t="n">
        <v>345880</v>
      </c>
      <c r="O32" s="2" t="n">
        <v>349129</v>
      </c>
      <c r="P32" s="2" t="n">
        <v>366771</v>
      </c>
      <c r="Q32" s="2" t="n">
        <v>366993</v>
      </c>
      <c r="R32" s="3">
        <f>AVERAGE(M32:Q32)</f>
        <v/>
      </c>
      <c r="S32" s="4">
        <f>SUM(E32:K32)+SUM(M32:Q32)</f>
        <v/>
      </c>
    </row>
    <row r="33">
      <c r="A33" t="inlineStr">
        <is>
          <t>Esgoto</t>
        </is>
      </c>
      <c r="B33" t="inlineStr">
        <is>
          <t>PÚBLICO</t>
        </is>
      </c>
      <c r="C33" t="inlineStr">
        <is>
          <t>Valor público</t>
        </is>
      </c>
      <c r="D33" t="inlineStr">
        <is>
          <t>R$</t>
        </is>
      </c>
      <c r="E33" s="2" t="n">
        <v>232962</v>
      </c>
      <c r="F33" s="2" t="n">
        <v>241592</v>
      </c>
      <c r="G33" s="2" t="n">
        <v>259283</v>
      </c>
      <c r="H33" s="2" t="n">
        <v>266502</v>
      </c>
      <c r="I33" s="2" t="n">
        <v>229841</v>
      </c>
      <c r="J33" s="2" t="n">
        <v>275896</v>
      </c>
      <c r="K33" s="2" t="n">
        <v>249601</v>
      </c>
      <c r="L33" s="3">
        <f>AVERAGE(E33:K33)</f>
        <v/>
      </c>
      <c r="M33" s="2" t="n">
        <v>245006</v>
      </c>
      <c r="N33" s="2" t="n">
        <v>337899</v>
      </c>
      <c r="O33" s="2" t="n">
        <v>331532</v>
      </c>
      <c r="P33" s="2" t="n">
        <v>317584</v>
      </c>
      <c r="Q33" s="2" t="n">
        <v>303224</v>
      </c>
      <c r="R33" s="3">
        <f>AVERAGE(M33:Q33)</f>
        <v/>
      </c>
      <c r="S33" s="4">
        <f>SUM(E33:K33)+SUM(M33:Q33)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Serviço</t>
        </is>
      </c>
      <c r="B1" s="1" t="inlineStr">
        <is>
          <t>Categoria</t>
        </is>
      </c>
      <c r="C1" s="1" t="inlineStr">
        <is>
          <t>MED/eco realizado (jan-jul)</t>
        </is>
      </c>
      <c r="D1" s="1" t="inlineStr">
        <is>
          <t>FAT/eco realizado (jan-jul)</t>
        </is>
      </c>
      <c r="E1" s="1" t="inlineStr">
        <is>
          <t>MED/eco projetado (ago-dez)</t>
        </is>
      </c>
      <c r="F1" s="1" t="inlineStr">
        <is>
          <t>FAT/eco projetado (ago-dez)</t>
        </is>
      </c>
      <c r="G1" s="1" t="inlineStr">
        <is>
          <t>Fator do MEDIDO (ago-dez)</t>
        </is>
      </c>
      <c r="H1" s="1" t="inlineStr">
        <is>
          <t>Fator do FATURADO (ago-dez)</t>
        </is>
      </c>
      <c r="I1" s="1" t="inlineStr">
        <is>
          <t>Alvo informado MED</t>
        </is>
      </c>
      <c r="J1" s="1" t="inlineStr">
        <is>
          <t>Alvo informado FAT</t>
        </is>
      </c>
      <c r="K1" s="1" t="inlineStr">
        <is>
          <t>Confere? (MED / FAT)</t>
        </is>
      </c>
    </row>
    <row r="2">
      <c r="A2" t="inlineStr">
        <is>
          <t>Água</t>
        </is>
      </c>
      <c r="B2" t="inlineStr">
        <is>
          <t>RES</t>
        </is>
      </c>
      <c r="C2" s="5">
        <f>SUM(Original!E6:K6)/SUM(Original!E2:K2)</f>
        <v/>
      </c>
      <c r="D2" s="5">
        <f>SUM(Original!E10:K10)/SUM(Original!E2:K2)</f>
        <v/>
      </c>
      <c r="E2" s="5">
        <f>SUM(Original!M6:Q6)/SUM(Original!M2:Q2)</f>
        <v/>
      </c>
      <c r="F2" s="5">
        <f>SUM(Original!M10:Q10)/SUM(Original!M2:Q2)</f>
        <v/>
      </c>
      <c r="G2" s="6" t="n">
        <v>1</v>
      </c>
      <c r="H2" s="6" t="n">
        <v>1</v>
      </c>
      <c r="K2" t="inlineStr">
        <is>
          <t>sem alvo: fator 1 (não altera)</t>
        </is>
      </c>
    </row>
    <row r="3">
      <c r="A3" t="inlineStr">
        <is>
          <t>Água</t>
        </is>
      </c>
      <c r="B3" t="inlineStr">
        <is>
          <t>COM</t>
        </is>
      </c>
      <c r="C3" s="5">
        <f>SUM(Original!E7:K7)/SUM(Original!E3:K3)</f>
        <v/>
      </c>
      <c r="D3" s="5">
        <f>SUM(Original!E11:K11)/SUM(Original!E3:K3)</f>
        <v/>
      </c>
      <c r="E3" s="5">
        <f>SUM(Original!M7:Q7)/SUM(Original!M3:Q3)</f>
        <v/>
      </c>
      <c r="F3" s="5">
        <f>SUM(Original!M11:Q11)/SUM(Original!M3:Q3)</f>
        <v/>
      </c>
      <c r="G3" s="6">
        <f>C3/E3</f>
        <v/>
      </c>
      <c r="H3" s="6">
        <f>D3/F3</f>
        <v/>
      </c>
      <c r="I3" t="n">
        <v>9.029999999999999</v>
      </c>
      <c r="J3" t="n">
        <v>13.1</v>
      </c>
      <c r="K3">
        <f>IF(AND(ABS(C3-I3)&lt;0.006,ABS(D3-J3)&lt;0.006),"sim","confira")</f>
        <v/>
      </c>
    </row>
    <row r="4">
      <c r="A4" t="inlineStr">
        <is>
          <t>Água</t>
        </is>
      </c>
      <c r="B4" t="inlineStr">
        <is>
          <t>IND</t>
        </is>
      </c>
      <c r="C4" s="5">
        <f>SUM(Original!E8:K8)/SUM(Original!E4:K4)</f>
        <v/>
      </c>
      <c r="D4" s="5">
        <f>SUM(Original!E12:K12)/SUM(Original!E4:K4)</f>
        <v/>
      </c>
      <c r="E4" s="5">
        <f>SUM(Original!M8:Q8)/SUM(Original!M4:Q4)</f>
        <v/>
      </c>
      <c r="F4" s="5">
        <f>SUM(Original!M12:Q12)/SUM(Original!M4:Q4)</f>
        <v/>
      </c>
      <c r="G4" s="6">
        <f>C4/E4</f>
        <v/>
      </c>
      <c r="H4" s="6">
        <f>D4/F4</f>
        <v/>
      </c>
      <c r="I4" t="n">
        <v>100.88</v>
      </c>
      <c r="J4" t="n">
        <v>107.16</v>
      </c>
      <c r="K4">
        <f>IF(AND(ABS(C4-I4)&lt;0.006,ABS(D4-J4)&lt;0.006),"sim","confira")</f>
        <v/>
      </c>
    </row>
    <row r="5">
      <c r="A5" t="inlineStr">
        <is>
          <t>Água</t>
        </is>
      </c>
      <c r="B5" t="inlineStr">
        <is>
          <t>PUB</t>
        </is>
      </c>
      <c r="C5" s="5">
        <f>SUM(Original!E9:K9)/SUM(Original!E5:K5)</f>
        <v/>
      </c>
      <c r="D5" s="5">
        <f>SUM(Original!E13:K13)/SUM(Original!E5:K5)</f>
        <v/>
      </c>
      <c r="E5" s="5">
        <f>SUM(Original!M9:Q9)/SUM(Original!M5:Q5)</f>
        <v/>
      </c>
      <c r="F5" s="5">
        <f>SUM(Original!M13:Q13)/SUM(Original!M5:Q5)</f>
        <v/>
      </c>
      <c r="G5" s="6">
        <f>C5/E5</f>
        <v/>
      </c>
      <c r="H5" s="6">
        <f>D5/F5</f>
        <v/>
      </c>
      <c r="I5" t="n">
        <v>62.69</v>
      </c>
      <c r="J5" t="n">
        <v>64.41</v>
      </c>
      <c r="K5">
        <f>IF(AND(ABS(C5-I5)&lt;0.006,ABS(D5-J5)&lt;0.006),"sim","confira")</f>
        <v/>
      </c>
    </row>
    <row r="6">
      <c r="A6" t="inlineStr">
        <is>
          <t>Esgoto</t>
        </is>
      </c>
      <c r="B6" t="inlineStr">
        <is>
          <t>RES</t>
        </is>
      </c>
      <c r="C6" s="5">
        <f>SUM(Original!E22:K22)/SUM(Original!E18:K18)</f>
        <v/>
      </c>
      <c r="D6" s="5">
        <f>SUM(Original!E26:K26)/SUM(Original!E18:K18)</f>
        <v/>
      </c>
      <c r="E6" s="5">
        <f>SUM(Original!M22:Q22)/SUM(Original!M18:Q18)</f>
        <v/>
      </c>
      <c r="F6" s="5">
        <f>SUM(Original!M26:Q26)/SUM(Original!M18:Q18)</f>
        <v/>
      </c>
      <c r="G6" s="6" t="n">
        <v>1</v>
      </c>
      <c r="H6" s="6" t="n">
        <v>1</v>
      </c>
      <c r="K6" t="inlineStr">
        <is>
          <t>sem alvo: fator 1 (não altera)</t>
        </is>
      </c>
    </row>
    <row r="7">
      <c r="A7" t="inlineStr">
        <is>
          <t>Esgoto</t>
        </is>
      </c>
      <c r="B7" t="inlineStr">
        <is>
          <t>COM</t>
        </is>
      </c>
      <c r="C7" s="5">
        <f>SUM(Original!E23:K23)/SUM(Original!E19:K19)</f>
        <v/>
      </c>
      <c r="D7" s="5">
        <f>SUM(Original!E27:K27)/SUM(Original!E19:K19)</f>
        <v/>
      </c>
      <c r="E7" s="5">
        <f>SUM(Original!M23:Q23)/SUM(Original!M19:Q19)</f>
        <v/>
      </c>
      <c r="F7" s="5">
        <f>SUM(Original!M27:Q27)/SUM(Original!M19:Q19)</f>
        <v/>
      </c>
      <c r="G7" s="6">
        <f>C7/E7</f>
        <v/>
      </c>
      <c r="H7" s="6">
        <f>D7/F7</f>
        <v/>
      </c>
      <c r="I7" t="n">
        <v>9.619999999999999</v>
      </c>
      <c r="J7" t="n">
        <v>13.48</v>
      </c>
      <c r="K7">
        <f>IF(AND(ABS(C7-I7)&lt;0.006,ABS(D7-J7)&lt;0.006),"sim","confira")</f>
        <v/>
      </c>
    </row>
    <row r="8">
      <c r="A8" t="inlineStr">
        <is>
          <t>Esgoto</t>
        </is>
      </c>
      <c r="B8" t="inlineStr">
        <is>
          <t>IND</t>
        </is>
      </c>
      <c r="C8" s="5">
        <f>SUM(Original!E24:K24)/SUM(Original!E20:K20)</f>
        <v/>
      </c>
      <c r="D8" s="5">
        <f>SUM(Original!E28:K28)/SUM(Original!E20:K20)</f>
        <v/>
      </c>
      <c r="E8" s="5">
        <f>SUM(Original!M24:Q24)/SUM(Original!M20:Q20)</f>
        <v/>
      </c>
      <c r="F8" s="5">
        <f>SUM(Original!M28:Q28)/SUM(Original!M20:Q20)</f>
        <v/>
      </c>
      <c r="G8" s="6">
        <f>C8/E8</f>
        <v/>
      </c>
      <c r="H8" s="6">
        <f>D8/F8</f>
        <v/>
      </c>
      <c r="I8" t="n">
        <v>189.62</v>
      </c>
      <c r="J8" t="n">
        <v>173.45</v>
      </c>
      <c r="K8">
        <f>IF(AND(ABS(C8-I8)&lt;0.006,ABS(D8-J8)&lt;0.006),"sim","confira")</f>
        <v/>
      </c>
    </row>
    <row r="9">
      <c r="A9" t="inlineStr">
        <is>
          <t>Esgoto</t>
        </is>
      </c>
      <c r="B9" t="inlineStr">
        <is>
          <t>PUB</t>
        </is>
      </c>
      <c r="C9" s="5">
        <f>SUM(Original!E25:K25)/SUM(Original!E21:K21)</f>
        <v/>
      </c>
      <c r="D9" s="5">
        <f>SUM(Original!E29:K29)/SUM(Original!E21:K21)</f>
        <v/>
      </c>
      <c r="E9" s="5">
        <f>SUM(Original!M25:Q25)/SUM(Original!M21:Q21)</f>
        <v/>
      </c>
      <c r="F9" s="5">
        <f>SUM(Original!M29:Q29)/SUM(Original!M21:Q21)</f>
        <v/>
      </c>
      <c r="G9" s="6">
        <f>C9/E9</f>
        <v/>
      </c>
      <c r="H9" s="6">
        <f>D9/F9</f>
        <v/>
      </c>
      <c r="I9" t="n">
        <v>65.91</v>
      </c>
      <c r="J9" t="n">
        <v>66.09999999999999</v>
      </c>
      <c r="K9">
        <f>IF(AND(ABS(C9-I9)&lt;0.006,ABS(D9-J9)&lt;0.006),"sim","confira")</f>
        <v/>
      </c>
    </row>
    <row r="11">
      <c r="A11" t="inlineStr">
        <is>
          <t>Como ler: Fator = (indicador por economia realizado em Jan–Jul) ÷ (indicador por economia projetado em Ago–Dez). Multiplicar o volume e o valor de Ago–Dez por ele leva o ano fechado ao mesmo ritmo por economia do realizado. Economias e tarifas não mudam. Edite os fatores (amarelo) se quiser outro alvo.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Serviço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Unid.</t>
        </is>
      </c>
      <c r="E1" s="1" t="inlineStr">
        <is>
          <t>Jan</t>
        </is>
      </c>
      <c r="F1" s="1" t="inlineStr">
        <is>
          <t>Fev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Mai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média jan-jul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  <c r="R1" s="1" t="inlineStr">
        <is>
          <t>média ago-dez</t>
        </is>
      </c>
      <c r="S1" s="1" t="inlineStr">
        <is>
          <t>Total Ano</t>
        </is>
      </c>
    </row>
    <row r="2">
      <c r="A2" t="inlineStr">
        <is>
          <t>Água</t>
        </is>
      </c>
      <c r="B2" t="inlineStr">
        <is>
          <t>RESIDENCIAL</t>
        </is>
      </c>
      <c r="C2" t="inlineStr">
        <is>
          <t>Economias faturadas residencial</t>
        </is>
      </c>
      <c r="D2" t="inlineStr">
        <is>
          <t>econ.</t>
        </is>
      </c>
      <c r="E2" s="2" t="n">
        <v>95895</v>
      </c>
      <c r="F2" s="2" t="n">
        <v>95891</v>
      </c>
      <c r="G2" s="2" t="n">
        <v>96078</v>
      </c>
      <c r="H2" s="2" t="n">
        <v>99572</v>
      </c>
      <c r="I2" s="2" t="n">
        <v>100007</v>
      </c>
      <c r="J2" s="2" t="n">
        <v>100215</v>
      </c>
      <c r="K2" s="2" t="n">
        <v>100452</v>
      </c>
      <c r="L2" s="3">
        <f>AVERAGE(E2:K2)</f>
        <v/>
      </c>
      <c r="M2" s="2">
        <f>Original!M2</f>
        <v/>
      </c>
      <c r="N2" s="2">
        <f>Original!N2</f>
        <v/>
      </c>
      <c r="O2" s="2">
        <f>Original!O2</f>
        <v/>
      </c>
      <c r="P2" s="2">
        <f>Original!P2</f>
        <v/>
      </c>
      <c r="Q2" s="2">
        <f>Original!Q2</f>
        <v/>
      </c>
      <c r="R2" s="3">
        <f>AVERAGE(M2:Q2)</f>
        <v/>
      </c>
      <c r="S2" s="4">
        <f>SUM(E2:K2)+SUM(M2:Q2)</f>
        <v/>
      </c>
    </row>
    <row r="3">
      <c r="A3" t="inlineStr">
        <is>
          <t>Água</t>
        </is>
      </c>
      <c r="B3" t="inlineStr">
        <is>
          <t>COMERCIAL</t>
        </is>
      </c>
      <c r="C3" t="inlineStr">
        <is>
          <t>Economias faturadas comercial</t>
        </is>
      </c>
      <c r="D3" t="inlineStr">
        <is>
          <t>econ.</t>
        </is>
      </c>
      <c r="E3" s="2" t="n">
        <v>7996</v>
      </c>
      <c r="F3" s="2" t="n">
        <v>8016</v>
      </c>
      <c r="G3" s="2" t="n">
        <v>7991</v>
      </c>
      <c r="H3" s="2" t="n">
        <v>8318</v>
      </c>
      <c r="I3" s="2" t="n">
        <v>8321</v>
      </c>
      <c r="J3" s="2" t="n">
        <v>8353</v>
      </c>
      <c r="K3" s="2" t="n">
        <v>8384</v>
      </c>
      <c r="L3" s="3">
        <f>AVERAGE(E3:K3)</f>
        <v/>
      </c>
      <c r="M3" s="2">
        <f>Original!M3</f>
        <v/>
      </c>
      <c r="N3" s="2">
        <f>Original!N3</f>
        <v/>
      </c>
      <c r="O3" s="2">
        <f>Original!O3</f>
        <v/>
      </c>
      <c r="P3" s="2">
        <f>Original!P3</f>
        <v/>
      </c>
      <c r="Q3" s="2">
        <f>Original!Q3</f>
        <v/>
      </c>
      <c r="R3" s="3">
        <f>AVERAGE(M3:Q3)</f>
        <v/>
      </c>
      <c r="S3" s="4">
        <f>SUM(E3:K3)+SUM(M3:Q3)</f>
        <v/>
      </c>
    </row>
    <row r="4">
      <c r="A4" t="inlineStr">
        <is>
          <t>Água</t>
        </is>
      </c>
      <c r="B4" t="inlineStr">
        <is>
          <t>INDUSTRIAL</t>
        </is>
      </c>
      <c r="C4" t="inlineStr">
        <is>
          <t>Economias faturadas industrial</t>
        </is>
      </c>
      <c r="D4" t="inlineStr">
        <is>
          <t>econ.</t>
        </is>
      </c>
      <c r="E4" s="2" t="n">
        <v>294</v>
      </c>
      <c r="F4" s="2" t="n">
        <v>297</v>
      </c>
      <c r="G4" s="2" t="n">
        <v>297</v>
      </c>
      <c r="H4" s="2" t="n">
        <v>300</v>
      </c>
      <c r="I4" s="2" t="n">
        <v>299</v>
      </c>
      <c r="J4" s="2" t="n">
        <v>300</v>
      </c>
      <c r="K4" s="2" t="n">
        <v>298</v>
      </c>
      <c r="L4" s="3">
        <f>AVERAGE(E4:K4)</f>
        <v/>
      </c>
      <c r="M4" s="2">
        <f>Original!M4</f>
        <v/>
      </c>
      <c r="N4" s="2">
        <f>Original!N4</f>
        <v/>
      </c>
      <c r="O4" s="2">
        <f>Original!O4</f>
        <v/>
      </c>
      <c r="P4" s="2">
        <f>Original!P4</f>
        <v/>
      </c>
      <c r="Q4" s="2">
        <f>Original!Q4</f>
        <v/>
      </c>
      <c r="R4" s="3">
        <f>AVERAGE(M4:Q4)</f>
        <v/>
      </c>
      <c r="S4" s="4">
        <f>SUM(E4:K4)+SUM(M4:Q4)</f>
        <v/>
      </c>
    </row>
    <row r="5">
      <c r="A5" t="inlineStr">
        <is>
          <t>Água</t>
        </is>
      </c>
      <c r="B5" t="inlineStr">
        <is>
          <t>PÚBLICO</t>
        </is>
      </c>
      <c r="C5" t="inlineStr">
        <is>
          <t>Economias faturadas público</t>
        </is>
      </c>
      <c r="D5" t="inlineStr">
        <is>
          <t>econ.</t>
        </is>
      </c>
      <c r="E5" s="2" t="n">
        <v>565</v>
      </c>
      <c r="F5" s="2" t="n">
        <v>562</v>
      </c>
      <c r="G5" s="2" t="n">
        <v>561</v>
      </c>
      <c r="H5" s="2" t="n">
        <v>548</v>
      </c>
      <c r="I5" s="2" t="n">
        <v>550</v>
      </c>
      <c r="J5" s="2" t="n">
        <v>549</v>
      </c>
      <c r="K5" s="2" t="n">
        <v>551</v>
      </c>
      <c r="L5" s="3">
        <f>AVERAGE(E5:K5)</f>
        <v/>
      </c>
      <c r="M5" s="2">
        <f>Original!M5</f>
        <v/>
      </c>
      <c r="N5" s="2">
        <f>Original!N5</f>
        <v/>
      </c>
      <c r="O5" s="2">
        <f>Original!O5</f>
        <v/>
      </c>
      <c r="P5" s="2">
        <f>Original!P5</f>
        <v/>
      </c>
      <c r="Q5" s="2">
        <f>Original!Q5</f>
        <v/>
      </c>
      <c r="R5" s="3">
        <f>AVERAGE(M5:Q5)</f>
        <v/>
      </c>
      <c r="S5" s="4">
        <f>SUM(E5:K5)+SUM(M5:Q5)</f>
        <v/>
      </c>
    </row>
    <row r="6">
      <c r="A6" t="inlineStr">
        <is>
          <t>Água</t>
        </is>
      </c>
      <c r="B6" t="inlineStr">
        <is>
          <t>RESIDENCIAL</t>
        </is>
      </c>
      <c r="C6" t="inlineStr">
        <is>
          <t>Volume medido residencial</t>
        </is>
      </c>
      <c r="D6" t="inlineStr">
        <is>
          <t>m³</t>
        </is>
      </c>
      <c r="E6" s="2" t="n">
        <v>837548</v>
      </c>
      <c r="F6" s="2" t="n">
        <v>798686</v>
      </c>
      <c r="G6" s="2" t="n">
        <v>773464</v>
      </c>
      <c r="H6" s="2" t="n">
        <v>783539</v>
      </c>
      <c r="I6" s="2" t="n">
        <v>786598</v>
      </c>
      <c r="J6" s="2" t="n">
        <v>742685</v>
      </c>
      <c r="K6" s="2" t="n">
        <v>803979</v>
      </c>
      <c r="L6" s="3">
        <f>AVERAGE(E6:K6)</f>
        <v/>
      </c>
      <c r="M6" s="2">
        <f>Original!M6</f>
        <v/>
      </c>
      <c r="N6" s="2">
        <f>Original!N6</f>
        <v/>
      </c>
      <c r="O6" s="2">
        <f>Original!O6</f>
        <v/>
      </c>
      <c r="P6" s="2">
        <f>Original!P6</f>
        <v/>
      </c>
      <c r="Q6" s="2">
        <f>Original!Q6</f>
        <v/>
      </c>
      <c r="R6" s="3">
        <f>AVERAGE(M6:Q6)</f>
        <v/>
      </c>
      <c r="S6" s="4">
        <f>SUM(E6:K6)+SUM(M6:Q6)</f>
        <v/>
      </c>
    </row>
    <row r="7">
      <c r="A7" t="inlineStr">
        <is>
          <t>Água</t>
        </is>
      </c>
      <c r="B7" t="inlineStr">
        <is>
          <t>COMERCIAL</t>
        </is>
      </c>
      <c r="C7" t="inlineStr">
        <is>
          <t>Volume medido comercial</t>
        </is>
      </c>
      <c r="D7" t="inlineStr">
        <is>
          <t>m³</t>
        </is>
      </c>
      <c r="E7" s="2" t="n">
        <v>70264</v>
      </c>
      <c r="F7" s="2" t="n">
        <v>76562</v>
      </c>
      <c r="G7" s="2" t="n">
        <v>71220</v>
      </c>
      <c r="H7" s="2" t="n">
        <v>76114</v>
      </c>
      <c r="I7" s="2" t="n">
        <v>75016</v>
      </c>
      <c r="J7" s="2" t="n">
        <v>72356</v>
      </c>
      <c r="K7" s="2" t="n">
        <v>76445</v>
      </c>
      <c r="L7" s="3">
        <f>AVERAGE(E7:K7)</f>
        <v/>
      </c>
      <c r="M7" s="7">
        <f>Original!M7*Fatores!$G$3</f>
        <v/>
      </c>
      <c r="N7" s="7">
        <f>Original!N7*Fatores!$G$3</f>
        <v/>
      </c>
      <c r="O7" s="7">
        <f>Original!O7*Fatores!$G$3</f>
        <v/>
      </c>
      <c r="P7" s="7">
        <f>Original!P7*Fatores!$G$3</f>
        <v/>
      </c>
      <c r="Q7" s="7">
        <f>Original!Q7*Fatores!$G$3</f>
        <v/>
      </c>
      <c r="R7" s="3">
        <f>AVERAGE(M7:Q7)</f>
        <v/>
      </c>
      <c r="S7" s="4">
        <f>SUM(E7:K7)+SUM(M7:Q7)</f>
        <v/>
      </c>
    </row>
    <row r="8">
      <c r="A8" t="inlineStr">
        <is>
          <t>Água</t>
        </is>
      </c>
      <c r="B8" t="inlineStr">
        <is>
          <t>INDUSTRIAL</t>
        </is>
      </c>
      <c r="C8" t="inlineStr">
        <is>
          <t>Volume medido industrial</t>
        </is>
      </c>
      <c r="D8" t="inlineStr">
        <is>
          <t>m³</t>
        </is>
      </c>
      <c r="E8" s="2" t="n">
        <v>29662</v>
      </c>
      <c r="F8" s="2" t="n">
        <v>31339</v>
      </c>
      <c r="G8" s="2" t="n">
        <v>27807</v>
      </c>
      <c r="H8" s="2" t="n">
        <v>28276</v>
      </c>
      <c r="I8" s="2" t="n">
        <v>29469</v>
      </c>
      <c r="J8" s="2" t="n">
        <v>31113</v>
      </c>
      <c r="K8" s="2" t="n">
        <v>32674</v>
      </c>
      <c r="L8" s="3">
        <f>AVERAGE(E8:K8)</f>
        <v/>
      </c>
      <c r="M8" s="7">
        <f>Original!M8*Fatores!$G$4</f>
        <v/>
      </c>
      <c r="N8" s="7">
        <f>Original!N8*Fatores!$G$4</f>
        <v/>
      </c>
      <c r="O8" s="7">
        <f>Original!O8*Fatores!$G$4</f>
        <v/>
      </c>
      <c r="P8" s="7">
        <f>Original!P8*Fatores!$G$4</f>
        <v/>
      </c>
      <c r="Q8" s="7">
        <f>Original!Q8*Fatores!$G$4</f>
        <v/>
      </c>
      <c r="R8" s="3">
        <f>AVERAGE(M8:Q8)</f>
        <v/>
      </c>
      <c r="S8" s="4">
        <f>SUM(E8:K8)+SUM(M8:Q8)</f>
        <v/>
      </c>
    </row>
    <row r="9">
      <c r="A9" t="inlineStr">
        <is>
          <t>Água</t>
        </is>
      </c>
      <c r="B9" t="inlineStr">
        <is>
          <t>PÚBLICO</t>
        </is>
      </c>
      <c r="C9" t="inlineStr">
        <is>
          <t>Volume medido público</t>
        </is>
      </c>
      <c r="D9" t="inlineStr">
        <is>
          <t>m³</t>
        </is>
      </c>
      <c r="E9" s="2" t="n">
        <v>30079</v>
      </c>
      <c r="F9" s="2" t="n">
        <v>33267</v>
      </c>
      <c r="G9" s="2" t="n">
        <v>35231</v>
      </c>
      <c r="H9" s="2" t="n">
        <v>36797</v>
      </c>
      <c r="I9" s="2" t="n">
        <v>35240</v>
      </c>
      <c r="J9" s="2" t="n">
        <v>38098</v>
      </c>
      <c r="K9" s="2" t="n">
        <v>34887</v>
      </c>
      <c r="L9" s="3">
        <f>AVERAGE(E9:K9)</f>
        <v/>
      </c>
      <c r="M9" s="7">
        <f>Original!M9*Fatores!$G$5</f>
        <v/>
      </c>
      <c r="N9" s="7">
        <f>Original!N9*Fatores!$G$5</f>
        <v/>
      </c>
      <c r="O9" s="7">
        <f>Original!O9*Fatores!$G$5</f>
        <v/>
      </c>
      <c r="P9" s="7">
        <f>Original!P9*Fatores!$G$5</f>
        <v/>
      </c>
      <c r="Q9" s="7">
        <f>Original!Q9*Fatores!$G$5</f>
        <v/>
      </c>
      <c r="R9" s="3">
        <f>AVERAGE(M9:Q9)</f>
        <v/>
      </c>
      <c r="S9" s="4">
        <f>SUM(E9:K9)+SUM(M9:Q9)</f>
        <v/>
      </c>
    </row>
    <row r="10">
      <c r="A10" t="inlineStr">
        <is>
          <t>Água</t>
        </is>
      </c>
      <c r="B10" t="inlineStr">
        <is>
          <t>RESIDENCIAL</t>
        </is>
      </c>
      <c r="C10" t="inlineStr">
        <is>
          <t>Volume faturado residencial</t>
        </is>
      </c>
      <c r="D10" t="inlineStr">
        <is>
          <t>m³</t>
        </is>
      </c>
      <c r="E10" s="2" t="n">
        <v>1132341</v>
      </c>
      <c r="F10" s="2" t="n">
        <v>1110631</v>
      </c>
      <c r="G10" s="2" t="n">
        <v>1105063</v>
      </c>
      <c r="H10" s="2" t="n">
        <v>1142963</v>
      </c>
      <c r="I10" s="2" t="n">
        <v>1136589</v>
      </c>
      <c r="J10" s="2" t="n">
        <v>1130820</v>
      </c>
      <c r="K10" s="2" t="n">
        <v>1179363</v>
      </c>
      <c r="L10" s="3">
        <f>AVERAGE(E10:K10)</f>
        <v/>
      </c>
      <c r="M10" s="2">
        <f>Original!M10</f>
        <v/>
      </c>
      <c r="N10" s="2">
        <f>Original!N10</f>
        <v/>
      </c>
      <c r="O10" s="2">
        <f>Original!O10</f>
        <v/>
      </c>
      <c r="P10" s="2">
        <f>Original!P10</f>
        <v/>
      </c>
      <c r="Q10" s="2">
        <f>Original!Q10</f>
        <v/>
      </c>
      <c r="R10" s="3">
        <f>AVERAGE(M10:Q10)</f>
        <v/>
      </c>
      <c r="S10" s="4">
        <f>SUM(E10:K10)+SUM(M10:Q10)</f>
        <v/>
      </c>
    </row>
    <row r="11">
      <c r="A11" t="inlineStr">
        <is>
          <t>Água</t>
        </is>
      </c>
      <c r="B11" t="inlineStr">
        <is>
          <t>COMERCIAL</t>
        </is>
      </c>
      <c r="C11" t="inlineStr">
        <is>
          <t>Volume faturado comercial</t>
        </is>
      </c>
      <c r="D11" t="inlineStr">
        <is>
          <t>m³</t>
        </is>
      </c>
      <c r="E11" s="2" t="n">
        <v>103284</v>
      </c>
      <c r="F11" s="2" t="n">
        <v>107109</v>
      </c>
      <c r="G11" s="2" t="n">
        <v>103689</v>
      </c>
      <c r="H11" s="2" t="n">
        <v>109717</v>
      </c>
      <c r="I11" s="2" t="n">
        <v>108610</v>
      </c>
      <c r="J11" s="2" t="n">
        <v>109113</v>
      </c>
      <c r="K11" s="2" t="n">
        <v>110209</v>
      </c>
      <c r="L11" s="3">
        <f>AVERAGE(E11:K11)</f>
        <v/>
      </c>
      <c r="M11" s="7">
        <f>Original!M11*Fatores!$H$3</f>
        <v/>
      </c>
      <c r="N11" s="7">
        <f>Original!N11*Fatores!$H$3</f>
        <v/>
      </c>
      <c r="O11" s="7">
        <f>Original!O11*Fatores!$H$3</f>
        <v/>
      </c>
      <c r="P11" s="7">
        <f>Original!P11*Fatores!$H$3</f>
        <v/>
      </c>
      <c r="Q11" s="7">
        <f>Original!Q11*Fatores!$H$3</f>
        <v/>
      </c>
      <c r="R11" s="3">
        <f>AVERAGE(M11:Q11)</f>
        <v/>
      </c>
      <c r="S11" s="4">
        <f>SUM(E11:K11)+SUM(M11:Q11)</f>
        <v/>
      </c>
    </row>
    <row r="12">
      <c r="A12" t="inlineStr">
        <is>
          <t>Água</t>
        </is>
      </c>
      <c r="B12" t="inlineStr">
        <is>
          <t>INDUSTRIAL</t>
        </is>
      </c>
      <c r="C12" t="inlineStr">
        <is>
          <t>Volume faturado industrial</t>
        </is>
      </c>
      <c r="D12" t="inlineStr">
        <is>
          <t>m³</t>
        </is>
      </c>
      <c r="E12" s="2" t="n">
        <v>31691</v>
      </c>
      <c r="F12" s="2" t="n">
        <v>33268</v>
      </c>
      <c r="G12" s="2" t="n">
        <v>30153</v>
      </c>
      <c r="H12" s="2" t="n">
        <v>30305</v>
      </c>
      <c r="I12" s="2" t="n">
        <v>31895</v>
      </c>
      <c r="J12" s="2" t="n">
        <v>33316</v>
      </c>
      <c r="K12" s="2" t="n">
        <v>32793</v>
      </c>
      <c r="L12" s="3">
        <f>AVERAGE(E12:K12)</f>
        <v/>
      </c>
      <c r="M12" s="7">
        <f>Original!M12*Fatores!$H$4</f>
        <v/>
      </c>
      <c r="N12" s="7">
        <f>Original!N12*Fatores!$H$4</f>
        <v/>
      </c>
      <c r="O12" s="7">
        <f>Original!O12*Fatores!$H$4</f>
        <v/>
      </c>
      <c r="P12" s="7">
        <f>Original!P12*Fatores!$H$4</f>
        <v/>
      </c>
      <c r="Q12" s="7">
        <f>Original!Q12*Fatores!$H$4</f>
        <v/>
      </c>
      <c r="R12" s="3">
        <f>AVERAGE(M12:Q12)</f>
        <v/>
      </c>
      <c r="S12" s="4">
        <f>SUM(E12:K12)+SUM(M12:Q12)</f>
        <v/>
      </c>
    </row>
    <row r="13">
      <c r="A13" t="inlineStr">
        <is>
          <t>Água</t>
        </is>
      </c>
      <c r="B13" t="inlineStr">
        <is>
          <t>PÚBLICO</t>
        </is>
      </c>
      <c r="C13" t="inlineStr">
        <is>
          <t>Volume faturado público</t>
        </is>
      </c>
      <c r="D13" t="inlineStr">
        <is>
          <t>m³</t>
        </is>
      </c>
      <c r="E13" s="2" t="n">
        <v>31566</v>
      </c>
      <c r="F13" s="2" t="n">
        <v>33908</v>
      </c>
      <c r="G13" s="2" t="n">
        <v>36223</v>
      </c>
      <c r="H13" s="2" t="n">
        <v>38197</v>
      </c>
      <c r="I13" s="2" t="n">
        <v>35984</v>
      </c>
      <c r="J13" s="2" t="n">
        <v>38823</v>
      </c>
      <c r="K13" s="2" t="n">
        <v>35594</v>
      </c>
      <c r="L13" s="3">
        <f>AVERAGE(E13:K13)</f>
        <v/>
      </c>
      <c r="M13" s="7">
        <f>Original!M13*Fatores!$H$5</f>
        <v/>
      </c>
      <c r="N13" s="7">
        <f>Original!N13*Fatores!$H$5</f>
        <v/>
      </c>
      <c r="O13" s="7">
        <f>Original!O13*Fatores!$H$5</f>
        <v/>
      </c>
      <c r="P13" s="7">
        <f>Original!P13*Fatores!$H$5</f>
        <v/>
      </c>
      <c r="Q13" s="7">
        <f>Original!Q13*Fatores!$H$5</f>
        <v/>
      </c>
      <c r="R13" s="3">
        <f>AVERAGE(M13:Q13)</f>
        <v/>
      </c>
      <c r="S13" s="4">
        <f>SUM(E13:K13)+SUM(M13:Q13)</f>
        <v/>
      </c>
    </row>
    <row r="14">
      <c r="A14" t="inlineStr">
        <is>
          <t>Água</t>
        </is>
      </c>
      <c r="B14" t="inlineStr">
        <is>
          <t>RESIDENCIAL</t>
        </is>
      </c>
      <c r="C14" t="inlineStr">
        <is>
          <t>Valor residencial</t>
        </is>
      </c>
      <c r="D14" t="inlineStr">
        <is>
          <t>R$</t>
        </is>
      </c>
      <c r="E14" s="2" t="n">
        <v>8922937</v>
      </c>
      <c r="F14" s="2" t="n">
        <v>8500290</v>
      </c>
      <c r="G14" s="2" t="n">
        <v>8374301</v>
      </c>
      <c r="H14" s="2" t="n">
        <v>8575972</v>
      </c>
      <c r="I14" s="2" t="n">
        <v>8221649</v>
      </c>
      <c r="J14" s="2" t="n">
        <v>8371315</v>
      </c>
      <c r="K14" s="2" t="n">
        <v>8556519</v>
      </c>
      <c r="L14" s="3">
        <f>AVERAGE(E14:K14)</f>
        <v/>
      </c>
      <c r="M14" s="2">
        <f>Original!M14</f>
        <v/>
      </c>
      <c r="N14" s="2">
        <f>Original!N14</f>
        <v/>
      </c>
      <c r="O14" s="2">
        <f>Original!O14</f>
        <v/>
      </c>
      <c r="P14" s="2">
        <f>Original!P14</f>
        <v/>
      </c>
      <c r="Q14" s="2">
        <f>Original!Q14</f>
        <v/>
      </c>
      <c r="R14" s="3">
        <f>AVERAGE(M14:Q14)</f>
        <v/>
      </c>
      <c r="S14" s="4">
        <f>SUM(E14:K14)+SUM(M14:Q14)</f>
        <v/>
      </c>
    </row>
    <row r="15">
      <c r="A15" t="inlineStr">
        <is>
          <t>Água</t>
        </is>
      </c>
      <c r="B15" t="inlineStr">
        <is>
          <t>COMERCIAL</t>
        </is>
      </c>
      <c r="C15" t="inlineStr">
        <is>
          <t>Valor comercial</t>
        </is>
      </c>
      <c r="D15" t="inlineStr">
        <is>
          <t>R$</t>
        </is>
      </c>
      <c r="E15" s="2" t="n">
        <v>2945564</v>
      </c>
      <c r="F15" s="2" t="n">
        <v>3112837</v>
      </c>
      <c r="G15" s="2" t="n">
        <v>3013440</v>
      </c>
      <c r="H15" s="2" t="n">
        <v>3206712</v>
      </c>
      <c r="I15" s="2" t="n">
        <v>3003758</v>
      </c>
      <c r="J15" s="2" t="n">
        <v>3167512</v>
      </c>
      <c r="K15" s="2" t="n">
        <v>3193270</v>
      </c>
      <c r="L15" s="3">
        <f>AVERAGE(E15:K15)</f>
        <v/>
      </c>
      <c r="M15" s="7">
        <f>Original!M15*Fatores!$H$3</f>
        <v/>
      </c>
      <c r="N15" s="7">
        <f>Original!N15*Fatores!$H$3</f>
        <v/>
      </c>
      <c r="O15" s="7">
        <f>Original!O15*Fatores!$H$3</f>
        <v/>
      </c>
      <c r="P15" s="7">
        <f>Original!P15*Fatores!$H$3</f>
        <v/>
      </c>
      <c r="Q15" s="7">
        <f>Original!Q15*Fatores!$H$3</f>
        <v/>
      </c>
      <c r="R15" s="3">
        <f>AVERAGE(M15:Q15)</f>
        <v/>
      </c>
      <c r="S15" s="4">
        <f>SUM(E15:K15)+SUM(M15:Q15)</f>
        <v/>
      </c>
    </row>
    <row r="16">
      <c r="A16" t="inlineStr">
        <is>
          <t>Água</t>
        </is>
      </c>
      <c r="B16" t="inlineStr">
        <is>
          <t>INDUSTRIAL</t>
        </is>
      </c>
      <c r="C16" t="inlineStr">
        <is>
          <t>Valor industrial</t>
        </is>
      </c>
      <c r="D16" t="inlineStr">
        <is>
          <t>R$</t>
        </is>
      </c>
      <c r="E16" s="2" t="n">
        <v>681289</v>
      </c>
      <c r="F16" s="2" t="n">
        <v>719839</v>
      </c>
      <c r="G16" s="2" t="n">
        <v>665568</v>
      </c>
      <c r="H16" s="2" t="n">
        <v>666440</v>
      </c>
      <c r="I16" s="2" t="n">
        <v>728050</v>
      </c>
      <c r="J16" s="2" t="n">
        <v>835970</v>
      </c>
      <c r="K16" s="2" t="n">
        <v>766499</v>
      </c>
      <c r="L16" s="3">
        <f>AVERAGE(E16:K16)</f>
        <v/>
      </c>
      <c r="M16" s="7">
        <f>Original!M16*Fatores!$H$4</f>
        <v/>
      </c>
      <c r="N16" s="7">
        <f>Original!N16*Fatores!$H$4</f>
        <v/>
      </c>
      <c r="O16" s="7">
        <f>Original!O16*Fatores!$H$4</f>
        <v/>
      </c>
      <c r="P16" s="7">
        <f>Original!P16*Fatores!$H$4</f>
        <v/>
      </c>
      <c r="Q16" s="7">
        <f>Original!Q16*Fatores!$H$4</f>
        <v/>
      </c>
      <c r="R16" s="3">
        <f>AVERAGE(M16:Q16)</f>
        <v/>
      </c>
      <c r="S16" s="4">
        <f>SUM(E16:K16)+SUM(M16:Q16)</f>
        <v/>
      </c>
    </row>
    <row r="17">
      <c r="A17" t="inlineStr">
        <is>
          <t>Água</t>
        </is>
      </c>
      <c r="B17" t="inlineStr">
        <is>
          <t>PÚBLICO</t>
        </is>
      </c>
      <c r="C17" t="inlineStr">
        <is>
          <t>Valor público</t>
        </is>
      </c>
      <c r="D17" t="inlineStr">
        <is>
          <t>R$</t>
        </is>
      </c>
      <c r="E17" s="2" t="n">
        <v>340022</v>
      </c>
      <c r="F17" s="2" t="n">
        <v>347816</v>
      </c>
      <c r="G17" s="2" t="n">
        <v>371189</v>
      </c>
      <c r="H17" s="2" t="n">
        <v>390195</v>
      </c>
      <c r="I17" s="2" t="n">
        <v>343363</v>
      </c>
      <c r="J17" s="2" t="n">
        <v>413117</v>
      </c>
      <c r="K17" s="2" t="n">
        <v>360401</v>
      </c>
      <c r="L17" s="3">
        <f>AVERAGE(E17:K17)</f>
        <v/>
      </c>
      <c r="M17" s="7">
        <f>Original!M17*Fatores!$H$5</f>
        <v/>
      </c>
      <c r="N17" s="7">
        <f>Original!N17*Fatores!$H$5</f>
        <v/>
      </c>
      <c r="O17" s="7">
        <f>Original!O17*Fatores!$H$5</f>
        <v/>
      </c>
      <c r="P17" s="7">
        <f>Original!P17*Fatores!$H$5</f>
        <v/>
      </c>
      <c r="Q17" s="7">
        <f>Original!Q17*Fatores!$H$5</f>
        <v/>
      </c>
      <c r="R17" s="3">
        <f>AVERAGE(M17:Q17)</f>
        <v/>
      </c>
      <c r="S17" s="4">
        <f>SUM(E17:K17)+SUM(M17:Q17)</f>
        <v/>
      </c>
    </row>
    <row r="18">
      <c r="A18" t="inlineStr">
        <is>
          <t>Esgoto</t>
        </is>
      </c>
      <c r="B18" t="inlineStr">
        <is>
          <t>RESIDENCIAL</t>
        </is>
      </c>
      <c r="C18" t="inlineStr">
        <is>
          <t>Economias faturadas residencial</t>
        </is>
      </c>
      <c r="D18" t="inlineStr">
        <is>
          <t>econ.</t>
        </is>
      </c>
      <c r="E18" s="2" t="n">
        <v>68425</v>
      </c>
      <c r="F18" s="2" t="n">
        <v>68751</v>
      </c>
      <c r="G18" s="2" t="n">
        <v>68921</v>
      </c>
      <c r="H18" s="2" t="n">
        <v>69564</v>
      </c>
      <c r="I18" s="2" t="n">
        <v>71001</v>
      </c>
      <c r="J18" s="2" t="n">
        <v>71210</v>
      </c>
      <c r="K18" s="2" t="n">
        <v>71378</v>
      </c>
      <c r="L18" s="3">
        <f>AVERAGE(E18:K18)</f>
        <v/>
      </c>
      <c r="M18" s="2">
        <f>Original!M18</f>
        <v/>
      </c>
      <c r="N18" s="2">
        <f>Original!N18</f>
        <v/>
      </c>
      <c r="O18" s="2">
        <f>Original!O18</f>
        <v/>
      </c>
      <c r="P18" s="2">
        <f>Original!P18</f>
        <v/>
      </c>
      <c r="Q18" s="2">
        <f>Original!Q18</f>
        <v/>
      </c>
      <c r="R18" s="3">
        <f>AVERAGE(M18:Q18)</f>
        <v/>
      </c>
      <c r="S18" s="4">
        <f>SUM(E18:K18)+SUM(M18:Q18)</f>
        <v/>
      </c>
    </row>
    <row r="19">
      <c r="A19" t="inlineStr">
        <is>
          <t>Esgoto</t>
        </is>
      </c>
      <c r="B19" t="inlineStr">
        <is>
          <t>COMERCIAL</t>
        </is>
      </c>
      <c r="C19" t="inlineStr">
        <is>
          <t>Economias faturadas comercial</t>
        </is>
      </c>
      <c r="D19" t="inlineStr">
        <is>
          <t>econ.</t>
        </is>
      </c>
      <c r="E19" s="2" t="n">
        <v>7094</v>
      </c>
      <c r="F19" s="2" t="n">
        <v>7110</v>
      </c>
      <c r="G19" s="2" t="n">
        <v>7078</v>
      </c>
      <c r="H19" s="2" t="n">
        <v>7145</v>
      </c>
      <c r="I19" s="2" t="n">
        <v>7119</v>
      </c>
      <c r="J19" s="2" t="n">
        <v>7271</v>
      </c>
      <c r="K19" s="2" t="n">
        <v>7342</v>
      </c>
      <c r="L19" s="3">
        <f>AVERAGE(E19:K19)</f>
        <v/>
      </c>
      <c r="M19" s="2">
        <f>Original!M19</f>
        <v/>
      </c>
      <c r="N19" s="2">
        <f>Original!N19</f>
        <v/>
      </c>
      <c r="O19" s="2">
        <f>Original!O19</f>
        <v/>
      </c>
      <c r="P19" s="2">
        <f>Original!P19</f>
        <v/>
      </c>
      <c r="Q19" s="2">
        <f>Original!Q19</f>
        <v/>
      </c>
      <c r="R19" s="3">
        <f>AVERAGE(M19:Q19)</f>
        <v/>
      </c>
      <c r="S19" s="4">
        <f>SUM(E19:K19)+SUM(M19:Q19)</f>
        <v/>
      </c>
    </row>
    <row r="20">
      <c r="A20" t="inlineStr">
        <is>
          <t>Esgoto</t>
        </is>
      </c>
      <c r="B20" t="inlineStr">
        <is>
          <t>INDUSTRIAL</t>
        </is>
      </c>
      <c r="C20" t="inlineStr">
        <is>
          <t>Economias faturadas industrial</t>
        </is>
      </c>
      <c r="D20" t="inlineStr">
        <is>
          <t>econ.</t>
        </is>
      </c>
      <c r="E20" s="2" t="n">
        <v>140</v>
      </c>
      <c r="F20" s="2" t="n">
        <v>142</v>
      </c>
      <c r="G20" s="2" t="n">
        <v>141</v>
      </c>
      <c r="H20" s="2" t="n">
        <v>143</v>
      </c>
      <c r="I20" s="2" t="n">
        <v>143</v>
      </c>
      <c r="J20" s="2" t="n">
        <v>148</v>
      </c>
      <c r="K20" s="2" t="n">
        <v>151</v>
      </c>
      <c r="L20" s="3">
        <f>AVERAGE(E20:K20)</f>
        <v/>
      </c>
      <c r="M20" s="2">
        <f>Original!M20</f>
        <v/>
      </c>
      <c r="N20" s="2">
        <f>Original!N20</f>
        <v/>
      </c>
      <c r="O20" s="2">
        <f>Original!O20</f>
        <v/>
      </c>
      <c r="P20" s="2">
        <f>Original!P20</f>
        <v/>
      </c>
      <c r="Q20" s="2">
        <f>Original!Q20</f>
        <v/>
      </c>
      <c r="R20" s="3">
        <f>AVERAGE(M20:Q20)</f>
        <v/>
      </c>
      <c r="S20" s="4">
        <f>SUM(E20:K20)+SUM(M20:Q20)</f>
        <v/>
      </c>
    </row>
    <row r="21">
      <c r="A21" t="inlineStr">
        <is>
          <t>Esgoto</t>
        </is>
      </c>
      <c r="B21" t="inlineStr">
        <is>
          <t>PÚBLICO</t>
        </is>
      </c>
      <c r="C21" t="inlineStr">
        <is>
          <t>Economias faturadas público</t>
        </is>
      </c>
      <c r="D21" t="inlineStr">
        <is>
          <t>econ.</t>
        </is>
      </c>
      <c r="E21" s="2" t="n">
        <v>458</v>
      </c>
      <c r="F21" s="2" t="n">
        <v>457</v>
      </c>
      <c r="G21" s="2" t="n">
        <v>457</v>
      </c>
      <c r="H21" s="2" t="n">
        <v>444</v>
      </c>
      <c r="I21" s="2" t="n">
        <v>457</v>
      </c>
      <c r="J21" s="2" t="n">
        <v>448</v>
      </c>
      <c r="K21" s="2" t="n">
        <v>448</v>
      </c>
      <c r="L21" s="3">
        <f>AVERAGE(E21:K21)</f>
        <v/>
      </c>
      <c r="M21" s="2">
        <f>Original!M21</f>
        <v/>
      </c>
      <c r="N21" s="2">
        <f>Original!N21</f>
        <v/>
      </c>
      <c r="O21" s="2">
        <f>Original!O21</f>
        <v/>
      </c>
      <c r="P21" s="2">
        <f>Original!P21</f>
        <v/>
      </c>
      <c r="Q21" s="2">
        <f>Original!Q21</f>
        <v/>
      </c>
      <c r="R21" s="3">
        <f>AVERAGE(M21:Q21)</f>
        <v/>
      </c>
      <c r="S21" s="4">
        <f>SUM(E21:K21)+SUM(M21:Q21)</f>
        <v/>
      </c>
    </row>
    <row r="22">
      <c r="A22" t="inlineStr">
        <is>
          <t>Esgoto</t>
        </is>
      </c>
      <c r="B22" t="inlineStr">
        <is>
          <t>RESIDENCIAL</t>
        </is>
      </c>
      <c r="C22" t="inlineStr">
        <is>
          <t>Volume medido residencial</t>
        </is>
      </c>
      <c r="D22" t="inlineStr">
        <is>
          <t>m³</t>
        </is>
      </c>
      <c r="E22" s="2" t="n">
        <v>596223</v>
      </c>
      <c r="F22" s="2" t="n">
        <v>577663</v>
      </c>
      <c r="G22" s="2" t="n">
        <v>564190</v>
      </c>
      <c r="H22" s="2" t="n">
        <v>580708</v>
      </c>
      <c r="I22" s="2" t="n">
        <v>572931</v>
      </c>
      <c r="J22" s="2" t="n">
        <v>556414</v>
      </c>
      <c r="K22" s="2" t="n">
        <v>606855</v>
      </c>
      <c r="L22" s="3">
        <f>AVERAGE(E22:K22)</f>
        <v/>
      </c>
      <c r="M22" s="2">
        <f>Original!M22</f>
        <v/>
      </c>
      <c r="N22" s="2">
        <f>Original!N22</f>
        <v/>
      </c>
      <c r="O22" s="2">
        <f>Original!O22</f>
        <v/>
      </c>
      <c r="P22" s="2">
        <f>Original!P22</f>
        <v/>
      </c>
      <c r="Q22" s="2">
        <f>Original!Q22</f>
        <v/>
      </c>
      <c r="R22" s="3">
        <f>AVERAGE(M22:Q22)</f>
        <v/>
      </c>
      <c r="S22" s="4">
        <f>SUM(E22:K22)+SUM(M22:Q22)</f>
        <v/>
      </c>
    </row>
    <row r="23">
      <c r="A23" t="inlineStr">
        <is>
          <t>Esgoto</t>
        </is>
      </c>
      <c r="B23" t="inlineStr">
        <is>
          <t>COMERCIAL</t>
        </is>
      </c>
      <c r="C23" t="inlineStr">
        <is>
          <t>Volume medido comercial</t>
        </is>
      </c>
      <c r="D23" t="inlineStr">
        <is>
          <t>m³</t>
        </is>
      </c>
      <c r="E23" s="2" t="n">
        <v>64154</v>
      </c>
      <c r="F23" s="2" t="n">
        <v>69721</v>
      </c>
      <c r="G23" s="2" t="n">
        <v>65636</v>
      </c>
      <c r="H23" s="2" t="n">
        <v>71160</v>
      </c>
      <c r="I23" s="2" t="n">
        <v>69546</v>
      </c>
      <c r="J23" s="2" t="n">
        <v>69433</v>
      </c>
      <c r="K23" s="2" t="n">
        <v>72753</v>
      </c>
      <c r="L23" s="3">
        <f>AVERAGE(E23:K23)</f>
        <v/>
      </c>
      <c r="M23" s="7">
        <f>Original!M23*Fatores!$G$7</f>
        <v/>
      </c>
      <c r="N23" s="7">
        <f>Original!N23*Fatores!$G$7</f>
        <v/>
      </c>
      <c r="O23" s="7">
        <f>Original!O23*Fatores!$G$7</f>
        <v/>
      </c>
      <c r="P23" s="7">
        <f>Original!P23*Fatores!$G$7</f>
        <v/>
      </c>
      <c r="Q23" s="7">
        <f>Original!Q23*Fatores!$G$7</f>
        <v/>
      </c>
      <c r="R23" s="3">
        <f>AVERAGE(M23:Q23)</f>
        <v/>
      </c>
      <c r="S23" s="4">
        <f>SUM(E23:K23)+SUM(M23:Q23)</f>
        <v/>
      </c>
    </row>
    <row r="24">
      <c r="A24" t="inlineStr">
        <is>
          <t>Esgoto</t>
        </is>
      </c>
      <c r="B24" t="inlineStr">
        <is>
          <t>INDUSTRIAL</t>
        </is>
      </c>
      <c r="C24" t="inlineStr">
        <is>
          <t>Volume medido industrial</t>
        </is>
      </c>
      <c r="D24" t="inlineStr">
        <is>
          <t>m³</t>
        </is>
      </c>
      <c r="E24" s="2" t="n">
        <v>26997</v>
      </c>
      <c r="F24" s="2" t="n">
        <v>30518</v>
      </c>
      <c r="G24" s="2" t="n">
        <v>26359</v>
      </c>
      <c r="H24" s="2" t="n">
        <v>26660</v>
      </c>
      <c r="I24" s="2" t="n">
        <v>25592</v>
      </c>
      <c r="J24" s="2" t="n">
        <v>26088</v>
      </c>
      <c r="K24" s="2" t="n">
        <v>28926</v>
      </c>
      <c r="L24" s="3">
        <f>AVERAGE(E24:K24)</f>
        <v/>
      </c>
      <c r="M24" s="7">
        <f>Original!M24*Fatores!$G$8</f>
        <v/>
      </c>
      <c r="N24" s="7">
        <f>Original!N24*Fatores!$G$8</f>
        <v/>
      </c>
      <c r="O24" s="7">
        <f>Original!O24*Fatores!$G$8</f>
        <v/>
      </c>
      <c r="P24" s="7">
        <f>Original!P24*Fatores!$G$8</f>
        <v/>
      </c>
      <c r="Q24" s="7">
        <f>Original!Q24*Fatores!$G$8</f>
        <v/>
      </c>
      <c r="R24" s="3">
        <f>AVERAGE(M24:Q24)</f>
        <v/>
      </c>
      <c r="S24" s="4">
        <f>SUM(E24:K24)+SUM(M24:Q24)</f>
        <v/>
      </c>
    </row>
    <row r="25">
      <c r="A25" t="inlineStr">
        <is>
          <t>Esgoto</t>
        </is>
      </c>
      <c r="B25" t="inlineStr">
        <is>
          <t>PÚBLICO</t>
        </is>
      </c>
      <c r="C25" t="inlineStr">
        <is>
          <t>Volume medido público</t>
        </is>
      </c>
      <c r="D25" t="inlineStr">
        <is>
          <t>m³</t>
        </is>
      </c>
      <c r="E25" s="2" t="n">
        <v>25645</v>
      </c>
      <c r="F25" s="2" t="n">
        <v>28265</v>
      </c>
      <c r="G25" s="2" t="n">
        <v>30440</v>
      </c>
      <c r="H25" s="2" t="n">
        <v>31268</v>
      </c>
      <c r="I25" s="2" t="n">
        <v>29697</v>
      </c>
      <c r="J25" s="2" t="n">
        <v>32613</v>
      </c>
      <c r="K25" s="2" t="n">
        <v>30946</v>
      </c>
      <c r="L25" s="3">
        <f>AVERAGE(E25:K25)</f>
        <v/>
      </c>
      <c r="M25" s="7">
        <f>Original!M25*Fatores!$G$9</f>
        <v/>
      </c>
      <c r="N25" s="7">
        <f>Original!N25*Fatores!$G$9</f>
        <v/>
      </c>
      <c r="O25" s="7">
        <f>Original!O25*Fatores!$G$9</f>
        <v/>
      </c>
      <c r="P25" s="7">
        <f>Original!P25*Fatores!$G$9</f>
        <v/>
      </c>
      <c r="Q25" s="7">
        <f>Original!Q25*Fatores!$G$9</f>
        <v/>
      </c>
      <c r="R25" s="3">
        <f>AVERAGE(M25:Q25)</f>
        <v/>
      </c>
      <c r="S25" s="4">
        <f>SUM(E25:K25)+SUM(M25:Q25)</f>
        <v/>
      </c>
    </row>
    <row r="26">
      <c r="A26" t="inlineStr">
        <is>
          <t>Esgoto</t>
        </is>
      </c>
      <c r="B26" t="inlineStr">
        <is>
          <t>RESIDENCIAL</t>
        </is>
      </c>
      <c r="C26" t="inlineStr">
        <is>
          <t>Volume faturado residencial</t>
        </is>
      </c>
      <c r="D26" t="inlineStr">
        <is>
          <t>m³</t>
        </is>
      </c>
      <c r="E26" s="2" t="n">
        <v>813877</v>
      </c>
      <c r="F26" s="2" t="n">
        <v>802752</v>
      </c>
      <c r="G26" s="2" t="n">
        <v>802074</v>
      </c>
      <c r="H26" s="2" t="n">
        <v>808103</v>
      </c>
      <c r="I26" s="2" t="n">
        <v>818595</v>
      </c>
      <c r="J26" s="2" t="n">
        <v>816138</v>
      </c>
      <c r="K26" s="2" t="n">
        <v>864510</v>
      </c>
      <c r="L26" s="3">
        <f>AVERAGE(E26:K26)</f>
        <v/>
      </c>
      <c r="M26" s="2">
        <f>Original!M26</f>
        <v/>
      </c>
      <c r="N26" s="2">
        <f>Original!N26</f>
        <v/>
      </c>
      <c r="O26" s="2">
        <f>Original!O26</f>
        <v/>
      </c>
      <c r="P26" s="2">
        <f>Original!P26</f>
        <v/>
      </c>
      <c r="Q26" s="2">
        <f>Original!Q26</f>
        <v/>
      </c>
      <c r="R26" s="3">
        <f>AVERAGE(M26:Q26)</f>
        <v/>
      </c>
      <c r="S26" s="4">
        <f>SUM(E26:K26)+SUM(M26:Q26)</f>
        <v/>
      </c>
    </row>
    <row r="27">
      <c r="A27" t="inlineStr">
        <is>
          <t>Esgoto</t>
        </is>
      </c>
      <c r="B27" t="inlineStr">
        <is>
          <t>COMERCIAL</t>
        </is>
      </c>
      <c r="C27" t="inlineStr">
        <is>
          <t>Volume faturado comercial</t>
        </is>
      </c>
      <c r="D27" t="inlineStr">
        <is>
          <t>m³</t>
        </is>
      </c>
      <c r="E27" s="2" t="n">
        <v>93335</v>
      </c>
      <c r="F27" s="2" t="n">
        <v>95710</v>
      </c>
      <c r="G27" s="2" t="n">
        <v>92595</v>
      </c>
      <c r="H27" s="2" t="n">
        <v>97036</v>
      </c>
      <c r="I27" s="2" t="n">
        <v>96403</v>
      </c>
      <c r="J27" s="2" t="n">
        <v>98500</v>
      </c>
      <c r="K27" s="2" t="n">
        <v>102510</v>
      </c>
      <c r="L27" s="3">
        <f>AVERAGE(E27:K27)</f>
        <v/>
      </c>
      <c r="M27" s="7">
        <f>Original!M27*Fatores!$H$7</f>
        <v/>
      </c>
      <c r="N27" s="7">
        <f>Original!N27*Fatores!$H$7</f>
        <v/>
      </c>
      <c r="O27" s="7">
        <f>Original!O27*Fatores!$H$7</f>
        <v/>
      </c>
      <c r="P27" s="7">
        <f>Original!P27*Fatores!$H$7</f>
        <v/>
      </c>
      <c r="Q27" s="7">
        <f>Original!Q27*Fatores!$H$7</f>
        <v/>
      </c>
      <c r="R27" s="3">
        <f>AVERAGE(M27:Q27)</f>
        <v/>
      </c>
      <c r="S27" s="4">
        <f>SUM(E27:K27)+SUM(M27:Q27)</f>
        <v/>
      </c>
    </row>
    <row r="28">
      <c r="A28" t="inlineStr">
        <is>
          <t>Esgoto</t>
        </is>
      </c>
      <c r="B28" t="inlineStr">
        <is>
          <t>INDUSTRIAL</t>
        </is>
      </c>
      <c r="C28" t="inlineStr">
        <is>
          <t>Volume faturado industrial</t>
        </is>
      </c>
      <c r="D28" t="inlineStr">
        <is>
          <t>m³</t>
        </is>
      </c>
      <c r="E28" s="2" t="n">
        <v>25824</v>
      </c>
      <c r="F28" s="2" t="n">
        <v>26977</v>
      </c>
      <c r="G28" s="2" t="n">
        <v>24205</v>
      </c>
      <c r="H28" s="2" t="n">
        <v>24008</v>
      </c>
      <c r="I28" s="2" t="n">
        <v>24005</v>
      </c>
      <c r="J28" s="2" t="n">
        <v>23935</v>
      </c>
      <c r="K28" s="2" t="n">
        <v>25879</v>
      </c>
      <c r="L28" s="3">
        <f>AVERAGE(E28:K28)</f>
        <v/>
      </c>
      <c r="M28" s="7">
        <f>Original!M28*Fatores!$H$8</f>
        <v/>
      </c>
      <c r="N28" s="7">
        <f>Original!N28*Fatores!$H$8</f>
        <v/>
      </c>
      <c r="O28" s="7">
        <f>Original!O28*Fatores!$H$8</f>
        <v/>
      </c>
      <c r="P28" s="7">
        <f>Original!P28*Fatores!$H$8</f>
        <v/>
      </c>
      <c r="Q28" s="7">
        <f>Original!Q28*Fatores!$H$8</f>
        <v/>
      </c>
      <c r="R28" s="3">
        <f>AVERAGE(M28:Q28)</f>
        <v/>
      </c>
      <c r="S28" s="4">
        <f>SUM(E28:K28)+SUM(M28:Q28)</f>
        <v/>
      </c>
    </row>
    <row r="29">
      <c r="A29" t="inlineStr">
        <is>
          <t>Esgoto</t>
        </is>
      </c>
      <c r="B29" t="inlineStr">
        <is>
          <t>PÚBLICO</t>
        </is>
      </c>
      <c r="C29" t="inlineStr">
        <is>
          <t>Volume faturado público</t>
        </is>
      </c>
      <c r="D29" t="inlineStr">
        <is>
          <t>m³</t>
        </is>
      </c>
      <c r="E29" s="2" t="n">
        <v>26513</v>
      </c>
      <c r="F29" s="2" t="n">
        <v>28533</v>
      </c>
      <c r="G29" s="2" t="n">
        <v>30481</v>
      </c>
      <c r="H29" s="2" t="n">
        <v>31569</v>
      </c>
      <c r="I29" s="2" t="n">
        <v>29651</v>
      </c>
      <c r="J29" s="2" t="n">
        <v>32658</v>
      </c>
      <c r="K29" s="2" t="n">
        <v>30074</v>
      </c>
      <c r="L29" s="3">
        <f>AVERAGE(E29:K29)</f>
        <v/>
      </c>
      <c r="M29" s="7">
        <f>Original!M29*Fatores!$H$9</f>
        <v/>
      </c>
      <c r="N29" s="7">
        <f>Original!N29*Fatores!$H$9</f>
        <v/>
      </c>
      <c r="O29" s="7">
        <f>Original!O29*Fatores!$H$9</f>
        <v/>
      </c>
      <c r="P29" s="7">
        <f>Original!P29*Fatores!$H$9</f>
        <v/>
      </c>
      <c r="Q29" s="7">
        <f>Original!Q29*Fatores!$H$9</f>
        <v/>
      </c>
      <c r="R29" s="3">
        <f>AVERAGE(M29:Q29)</f>
        <v/>
      </c>
      <c r="S29" s="4">
        <f>SUM(E29:K29)+SUM(M29:Q29)</f>
        <v/>
      </c>
    </row>
    <row r="30">
      <c r="A30" t="inlineStr">
        <is>
          <t>Esgoto</t>
        </is>
      </c>
      <c r="B30" t="inlineStr">
        <is>
          <t>RESIDENCIAL</t>
        </is>
      </c>
      <c r="C30" t="inlineStr">
        <is>
          <t>Valor residencial</t>
        </is>
      </c>
      <c r="D30" t="inlineStr">
        <is>
          <t>R$</t>
        </is>
      </c>
      <c r="E30" s="2" t="n">
        <v>4826786</v>
      </c>
      <c r="F30" s="2" t="n">
        <v>4690777</v>
      </c>
      <c r="G30" s="2" t="n">
        <v>4675493</v>
      </c>
      <c r="H30" s="2" t="n">
        <v>4616837</v>
      </c>
      <c r="I30" s="2" t="n">
        <v>4543942</v>
      </c>
      <c r="J30" s="2" t="n">
        <v>4662181</v>
      </c>
      <c r="K30" s="2" t="n">
        <v>4712757</v>
      </c>
      <c r="L30" s="3">
        <f>AVERAGE(E30:K30)</f>
        <v/>
      </c>
      <c r="M30" s="2">
        <f>Original!M30</f>
        <v/>
      </c>
      <c r="N30" s="2">
        <f>Original!N30</f>
        <v/>
      </c>
      <c r="O30" s="2">
        <f>Original!O30</f>
        <v/>
      </c>
      <c r="P30" s="2">
        <f>Original!P30</f>
        <v/>
      </c>
      <c r="Q30" s="2">
        <f>Original!Q30</f>
        <v/>
      </c>
      <c r="R30" s="3">
        <f>AVERAGE(M30:Q30)</f>
        <v/>
      </c>
      <c r="S30" s="4">
        <f>SUM(E30:K30)+SUM(M30:Q30)</f>
        <v/>
      </c>
    </row>
    <row r="31">
      <c r="A31" t="inlineStr">
        <is>
          <t>Esgoto</t>
        </is>
      </c>
      <c r="B31" t="inlineStr">
        <is>
          <t>COMERCIAL</t>
        </is>
      </c>
      <c r="C31" t="inlineStr">
        <is>
          <t>Valor comercial</t>
        </is>
      </c>
      <c r="D31" t="inlineStr">
        <is>
          <t>R$</t>
        </is>
      </c>
      <c r="E31" s="2" t="n">
        <v>2220425</v>
      </c>
      <c r="F31" s="2" t="n">
        <v>2307034</v>
      </c>
      <c r="G31" s="2" t="n">
        <v>2252978</v>
      </c>
      <c r="H31" s="2" t="n">
        <v>2371559</v>
      </c>
      <c r="I31" s="2" t="n">
        <v>2255442</v>
      </c>
      <c r="J31" s="2" t="n">
        <v>2437479</v>
      </c>
      <c r="K31" s="2" t="n">
        <v>2489572</v>
      </c>
      <c r="L31" s="3">
        <f>AVERAGE(E31:K31)</f>
        <v/>
      </c>
      <c r="M31" s="7">
        <f>Original!M31*Fatores!$H$7</f>
        <v/>
      </c>
      <c r="N31" s="7">
        <f>Original!N31*Fatores!$H$7</f>
        <v/>
      </c>
      <c r="O31" s="7">
        <f>Original!O31*Fatores!$H$7</f>
        <v/>
      </c>
      <c r="P31" s="7">
        <f>Original!P31*Fatores!$H$7</f>
        <v/>
      </c>
      <c r="Q31" s="7">
        <f>Original!Q31*Fatores!$H$7</f>
        <v/>
      </c>
      <c r="R31" s="3">
        <f>AVERAGE(M31:Q31)</f>
        <v/>
      </c>
      <c r="S31" s="4">
        <f>SUM(E31:K31)+SUM(M31:Q31)</f>
        <v/>
      </c>
    </row>
    <row r="32">
      <c r="A32" t="inlineStr">
        <is>
          <t>Esgoto</t>
        </is>
      </c>
      <c r="B32" t="inlineStr">
        <is>
          <t>INDUSTRIAL</t>
        </is>
      </c>
      <c r="C32" t="inlineStr">
        <is>
          <t>Valor industrial</t>
        </is>
      </c>
      <c r="D32" t="inlineStr">
        <is>
          <t>R$</t>
        </is>
      </c>
      <c r="E32" s="2" t="n">
        <v>276840</v>
      </c>
      <c r="F32" s="2" t="n">
        <v>281658</v>
      </c>
      <c r="G32" s="2" t="n">
        <v>266082</v>
      </c>
      <c r="H32" s="2" t="n">
        <v>254346</v>
      </c>
      <c r="I32" s="2" t="n">
        <v>247702</v>
      </c>
      <c r="J32" s="2" t="n">
        <v>248871</v>
      </c>
      <c r="K32" s="2" t="n">
        <v>248796</v>
      </c>
      <c r="L32" s="3">
        <f>AVERAGE(E32:K32)</f>
        <v/>
      </c>
      <c r="M32" s="7">
        <f>Original!M32*Fatores!$H$8</f>
        <v/>
      </c>
      <c r="N32" s="7">
        <f>Original!N32*Fatores!$H$8</f>
        <v/>
      </c>
      <c r="O32" s="7">
        <f>Original!O32*Fatores!$H$8</f>
        <v/>
      </c>
      <c r="P32" s="7">
        <f>Original!P32*Fatores!$H$8</f>
        <v/>
      </c>
      <c r="Q32" s="7">
        <f>Original!Q32*Fatores!$H$8</f>
        <v/>
      </c>
      <c r="R32" s="3">
        <f>AVERAGE(M32:Q32)</f>
        <v/>
      </c>
      <c r="S32" s="4">
        <f>SUM(E32:K32)+SUM(M32:Q32)</f>
        <v/>
      </c>
    </row>
    <row r="33">
      <c r="A33" t="inlineStr">
        <is>
          <t>Esgoto</t>
        </is>
      </c>
      <c r="B33" t="inlineStr">
        <is>
          <t>PÚBLICO</t>
        </is>
      </c>
      <c r="C33" t="inlineStr">
        <is>
          <t>Valor público</t>
        </is>
      </c>
      <c r="D33" t="inlineStr">
        <is>
          <t>R$</t>
        </is>
      </c>
      <c r="E33" s="2" t="n">
        <v>232962</v>
      </c>
      <c r="F33" s="2" t="n">
        <v>241592</v>
      </c>
      <c r="G33" s="2" t="n">
        <v>259283</v>
      </c>
      <c r="H33" s="2" t="n">
        <v>266502</v>
      </c>
      <c r="I33" s="2" t="n">
        <v>229841</v>
      </c>
      <c r="J33" s="2" t="n">
        <v>275896</v>
      </c>
      <c r="K33" s="2" t="n">
        <v>249601</v>
      </c>
      <c r="L33" s="3">
        <f>AVERAGE(E33:K33)</f>
        <v/>
      </c>
      <c r="M33" s="7">
        <f>Original!M33*Fatores!$H$9</f>
        <v/>
      </c>
      <c r="N33" s="7">
        <f>Original!N33*Fatores!$H$9</f>
        <v/>
      </c>
      <c r="O33" s="7">
        <f>Original!O33*Fatores!$H$9</f>
        <v/>
      </c>
      <c r="P33" s="7">
        <f>Original!P33*Fatores!$H$9</f>
        <v/>
      </c>
      <c r="Q33" s="7">
        <f>Original!Q33*Fatores!$H$9</f>
        <v/>
      </c>
      <c r="R33" s="3">
        <f>AVERAGE(M33:Q33)</f>
        <v/>
      </c>
      <c r="S33" s="4">
        <f>SUM(E33:K33)+SUM(M33:Q33)</f>
        <v/>
      </c>
    </row>
    <row r="35">
      <c r="A35" s="8" t="inlineStr">
        <is>
          <t>CONFERÊNCIA — por economia (ano fechado com Ago–Dez calibrado)</t>
        </is>
      </c>
    </row>
    <row r="36">
      <c r="A36" s="9" t="inlineStr">
        <is>
          <t>Serviço</t>
        </is>
      </c>
      <c r="B36" s="9" t="inlineStr">
        <is>
          <t>Categoria</t>
        </is>
      </c>
      <c r="C36" s="9" t="inlineStr">
        <is>
          <t>Indicador</t>
        </is>
      </c>
      <c r="D36" s="9" t="inlineStr"/>
      <c r="E36" s="9" t="inlineStr">
        <is>
          <t>MED/eco jan-jul</t>
        </is>
      </c>
      <c r="F36" s="9" t="inlineStr">
        <is>
          <t>FAT/eco jan-jul</t>
        </is>
      </c>
      <c r="G36" s="9" t="inlineStr">
        <is>
          <t>MED/eco ago-dez</t>
        </is>
      </c>
      <c r="H36" s="9" t="inlineStr">
        <is>
          <t>FAT/eco ago-dez</t>
        </is>
      </c>
      <c r="I36" s="9" t="inlineStr">
        <is>
          <t>MED/eco ANO</t>
        </is>
      </c>
      <c r="J36" s="9" t="inlineStr">
        <is>
          <t>FAT/eco ANO</t>
        </is>
      </c>
    </row>
    <row r="37">
      <c r="A37" t="inlineStr">
        <is>
          <t>Água</t>
        </is>
      </c>
      <c r="B37" t="inlineStr">
        <is>
          <t>RES</t>
        </is>
      </c>
      <c r="C37" t="inlineStr">
        <is>
          <t>volume ÷ economias</t>
        </is>
      </c>
      <c r="E37" s="10">
        <f>SUM(E6:K6)/SUM(E2:K2)</f>
        <v/>
      </c>
      <c r="F37" s="10">
        <f>SUM(E10:K10)/SUM(E2:K2)</f>
        <v/>
      </c>
      <c r="G37" s="10">
        <f>SUM(M6:Q6)/SUM(M2:Q2)</f>
        <v/>
      </c>
      <c r="H37" s="10">
        <f>SUM(M10:Q10)/SUM(M2:Q2)</f>
        <v/>
      </c>
      <c r="I37" s="10">
        <f>(SUM(E6:K6)+SUM(M6:Q6))/(SUM(E2:K2)+SUM(M2:Q2))</f>
        <v/>
      </c>
      <c r="J37" s="10">
        <f>(SUM(E10:K10)+SUM(M10:Q10))/(SUM(E2:K2)+SUM(M2:Q2))</f>
        <v/>
      </c>
    </row>
    <row r="38">
      <c r="A38" t="inlineStr">
        <is>
          <t>Água</t>
        </is>
      </c>
      <c r="B38" t="inlineStr">
        <is>
          <t>COM</t>
        </is>
      </c>
      <c r="C38" t="inlineStr">
        <is>
          <t>volume ÷ economias</t>
        </is>
      </c>
      <c r="E38" s="10">
        <f>SUM(E7:K7)/SUM(E3:K3)</f>
        <v/>
      </c>
      <c r="F38" s="10">
        <f>SUM(E11:K11)/SUM(E3:K3)</f>
        <v/>
      </c>
      <c r="G38" s="10">
        <f>SUM(M7:Q7)/SUM(M3:Q3)</f>
        <v/>
      </c>
      <c r="H38" s="10">
        <f>SUM(M11:Q11)/SUM(M3:Q3)</f>
        <v/>
      </c>
      <c r="I38" s="10">
        <f>(SUM(E7:K7)+SUM(M7:Q7))/(SUM(E3:K3)+SUM(M3:Q3))</f>
        <v/>
      </c>
      <c r="J38" s="10">
        <f>(SUM(E11:K11)+SUM(M11:Q11))/(SUM(E3:K3)+SUM(M3:Q3))</f>
        <v/>
      </c>
    </row>
    <row r="39">
      <c r="A39" t="inlineStr">
        <is>
          <t>Água</t>
        </is>
      </c>
      <c r="B39" t="inlineStr">
        <is>
          <t>IND</t>
        </is>
      </c>
      <c r="C39" t="inlineStr">
        <is>
          <t>volume ÷ economias</t>
        </is>
      </c>
      <c r="E39" s="10">
        <f>SUM(E8:K8)/SUM(E4:K4)</f>
        <v/>
      </c>
      <c r="F39" s="10">
        <f>SUM(E12:K12)/SUM(E4:K4)</f>
        <v/>
      </c>
      <c r="G39" s="10">
        <f>SUM(M8:Q8)/SUM(M4:Q4)</f>
        <v/>
      </c>
      <c r="H39" s="10">
        <f>SUM(M12:Q12)/SUM(M4:Q4)</f>
        <v/>
      </c>
      <c r="I39" s="10">
        <f>(SUM(E8:K8)+SUM(M8:Q8))/(SUM(E4:K4)+SUM(M4:Q4))</f>
        <v/>
      </c>
      <c r="J39" s="10">
        <f>(SUM(E12:K12)+SUM(M12:Q12))/(SUM(E4:K4)+SUM(M4:Q4))</f>
        <v/>
      </c>
    </row>
    <row r="40">
      <c r="A40" t="inlineStr">
        <is>
          <t>Água</t>
        </is>
      </c>
      <c r="B40" t="inlineStr">
        <is>
          <t>PUB</t>
        </is>
      </c>
      <c r="C40" t="inlineStr">
        <is>
          <t>volume ÷ economias</t>
        </is>
      </c>
      <c r="E40" s="10">
        <f>SUM(E9:K9)/SUM(E5:K5)</f>
        <v/>
      </c>
      <c r="F40" s="10">
        <f>SUM(E13:K13)/SUM(E5:K5)</f>
        <v/>
      </c>
      <c r="G40" s="10">
        <f>SUM(M9:Q9)/SUM(M5:Q5)</f>
        <v/>
      </c>
      <c r="H40" s="10">
        <f>SUM(M13:Q13)/SUM(M5:Q5)</f>
        <v/>
      </c>
      <c r="I40" s="10">
        <f>(SUM(E9:K9)+SUM(M9:Q9))/(SUM(E5:K5)+SUM(M5:Q5))</f>
        <v/>
      </c>
      <c r="J40" s="10">
        <f>(SUM(E13:K13)+SUM(M13:Q13))/(SUM(E5:K5)+SUM(M5:Q5))</f>
        <v/>
      </c>
    </row>
    <row r="41">
      <c r="A41" t="inlineStr">
        <is>
          <t>Esgoto</t>
        </is>
      </c>
      <c r="B41" t="inlineStr">
        <is>
          <t>RES</t>
        </is>
      </c>
      <c r="C41" t="inlineStr">
        <is>
          <t>volume ÷ economias</t>
        </is>
      </c>
      <c r="E41" s="10">
        <f>SUM(E22:K22)/SUM(E18:K18)</f>
        <v/>
      </c>
      <c r="F41" s="10">
        <f>SUM(E26:K26)/SUM(E18:K18)</f>
        <v/>
      </c>
      <c r="G41" s="10">
        <f>SUM(M22:Q22)/SUM(M18:Q18)</f>
        <v/>
      </c>
      <c r="H41" s="10">
        <f>SUM(M26:Q26)/SUM(M18:Q18)</f>
        <v/>
      </c>
      <c r="I41" s="10">
        <f>(SUM(E22:K22)+SUM(M22:Q22))/(SUM(E18:K18)+SUM(M18:Q18))</f>
        <v/>
      </c>
      <c r="J41" s="10">
        <f>(SUM(E26:K26)+SUM(M26:Q26))/(SUM(E18:K18)+SUM(M18:Q18))</f>
        <v/>
      </c>
    </row>
    <row r="42">
      <c r="A42" t="inlineStr">
        <is>
          <t>Esgoto</t>
        </is>
      </c>
      <c r="B42" t="inlineStr">
        <is>
          <t>COM</t>
        </is>
      </c>
      <c r="C42" t="inlineStr">
        <is>
          <t>volume ÷ economias</t>
        </is>
      </c>
      <c r="E42" s="10">
        <f>SUM(E23:K23)/SUM(E19:K19)</f>
        <v/>
      </c>
      <c r="F42" s="10">
        <f>SUM(E27:K27)/SUM(E19:K19)</f>
        <v/>
      </c>
      <c r="G42" s="10">
        <f>SUM(M23:Q23)/SUM(M19:Q19)</f>
        <v/>
      </c>
      <c r="H42" s="10">
        <f>SUM(M27:Q27)/SUM(M19:Q19)</f>
        <v/>
      </c>
      <c r="I42" s="10">
        <f>(SUM(E23:K23)+SUM(M23:Q23))/(SUM(E19:K19)+SUM(M19:Q19))</f>
        <v/>
      </c>
      <c r="J42" s="10">
        <f>(SUM(E27:K27)+SUM(M27:Q27))/(SUM(E19:K19)+SUM(M19:Q19))</f>
        <v/>
      </c>
    </row>
    <row r="43">
      <c r="A43" t="inlineStr">
        <is>
          <t>Esgoto</t>
        </is>
      </c>
      <c r="B43" t="inlineStr">
        <is>
          <t>IND</t>
        </is>
      </c>
      <c r="C43" t="inlineStr">
        <is>
          <t>volume ÷ economias</t>
        </is>
      </c>
      <c r="E43" s="10">
        <f>SUM(E24:K24)/SUM(E20:K20)</f>
        <v/>
      </c>
      <c r="F43" s="10">
        <f>SUM(E28:K28)/SUM(E20:K20)</f>
        <v/>
      </c>
      <c r="G43" s="10">
        <f>SUM(M24:Q24)/SUM(M20:Q20)</f>
        <v/>
      </c>
      <c r="H43" s="10">
        <f>SUM(M28:Q28)/SUM(M20:Q20)</f>
        <v/>
      </c>
      <c r="I43" s="10">
        <f>(SUM(E24:K24)+SUM(M24:Q24))/(SUM(E20:K20)+SUM(M20:Q20))</f>
        <v/>
      </c>
      <c r="J43" s="10">
        <f>(SUM(E28:K28)+SUM(M28:Q28))/(SUM(E20:K20)+SUM(M20:Q20))</f>
        <v/>
      </c>
    </row>
    <row r="44">
      <c r="A44" t="inlineStr">
        <is>
          <t>Esgoto</t>
        </is>
      </c>
      <c r="B44" t="inlineStr">
        <is>
          <t>PUB</t>
        </is>
      </c>
      <c r="C44" t="inlineStr">
        <is>
          <t>volume ÷ economias</t>
        </is>
      </c>
      <c r="E44" s="10">
        <f>SUM(E25:K25)/SUM(E21:K21)</f>
        <v/>
      </c>
      <c r="F44" s="10">
        <f>SUM(E29:K29)/SUM(E21:K21)</f>
        <v/>
      </c>
      <c r="G44" s="10">
        <f>SUM(M25:Q25)/SUM(M21:Q21)</f>
        <v/>
      </c>
      <c r="H44" s="10">
        <f>SUM(M29:Q29)/SUM(M21:Q21)</f>
        <v/>
      </c>
      <c r="I44" s="10">
        <f>(SUM(E25:K25)+SUM(M25:Q25))/(SUM(E21:K21)+SUM(M21:Q21))</f>
        <v/>
      </c>
      <c r="J44" s="10">
        <f>(SUM(E29:K29)+SUM(M29:Q29))/(SUM(E21:K21)+SUM(M21:Q21))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2026-09-29T15:51:41Z</dcterms:created>
  <dcterms:modified xsi:type="dcterms:W3CDTF">2026-09-29T15:51:41Z</dcterms:modified>
</cp:coreProperties>
</file>